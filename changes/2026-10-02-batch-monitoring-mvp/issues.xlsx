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Issues" sheetId="3" state="visible" r:id="rId3"/>
    <sheet name="Paired tests" sheetId="4" state="visible" r:id="rId4"/>
    <sheet name="Long-lead requests" sheetId="5" state="visible" r:id="rId5"/>
    <sheet name="Fixed versions" sheetId="6" state="visible" r:id="rId6"/>
  </sheets>
  <definedNames>
    <definedName name="_xlnm._FilterDatabase" localSheetId="2" hidden="1">'Issues'!$A$1:$M$33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sz val="10"/>
    </font>
    <font>
      <name val="Arial"/>
      <b val="1"/>
      <color rgb="00FFFFFF"/>
      <sz val="10"/>
    </font>
  </fonts>
  <fills count="8">
    <fill>
      <patternFill/>
    </fill>
    <fill>
      <patternFill patternType="gray125"/>
    </fill>
    <fill>
      <patternFill patternType="solid">
        <fgColor rgb="001F3864"/>
      </patternFill>
    </fill>
    <fill>
      <patternFill patternType="solid">
        <fgColor rgb="00DEEAF6"/>
      </patternFill>
    </fill>
    <fill>
      <patternFill patternType="solid">
        <fgColor rgb="00FFFF99"/>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1" applyAlignment="1" pivotButton="0" quotePrefix="0" xfId="0">
      <alignment vertical="top" wrapText="1"/>
    </xf>
    <xf numFmtId="0" fontId="3" fillId="0" borderId="1" pivotButton="0" quotePrefix="0" xfId="0"/>
    <xf numFmtId="0" fontId="2" fillId="0" borderId="1" pivotButton="0" quotePrefix="0" xfId="0"/>
    <xf numFmtId="9" fontId="2" fillId="0" borderId="1" pivotButton="0" quotePrefix="0" xfId="0"/>
    <xf numFmtId="9" fontId="3" fillId="0" borderId="1" pivotButton="0" quotePrefix="0" xfId="0"/>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Batch Monitoring MVP — Issues</t>
        </is>
      </c>
    </row>
    <row r="2">
      <c r="A2" s="2" t="inlineStr">
        <is>
          <t>Source: changes/2026-10-02-batch-monitoring-mvp/issues.md (reviewed 2026-10-03 and 2026-10-04). Language: ASD-STE100, about 80% strict.</t>
        </is>
      </c>
    </row>
    <row r="3">
      <c r="A3" s="2" t="inlineStr"/>
    </row>
    <row r="4">
      <c r="A4" s="3" t="inlineStr">
        <is>
          <t>Sheets</t>
        </is>
      </c>
    </row>
    <row r="5">
      <c r="A5" s="2" t="inlineStr">
        <is>
          <t>Issues — one row for each of the 32 issues: owner, dependencies, test partner, size, what to do, acceptance criteria, how to test.</t>
        </is>
      </c>
    </row>
    <row r="6">
      <c r="A6" s="2" t="inlineStr">
        <is>
          <t>Summary — the number of issues for each sprint, size and status. The numbers are formulas, so they change when you change the Status column.</t>
        </is>
      </c>
    </row>
    <row r="7">
      <c r="A7" s="2" t="inlineStr">
        <is>
          <t>Paired tests — for each sprint, the feature, its test partner and what the test proves.</t>
        </is>
      </c>
    </row>
    <row r="8">
      <c r="A8" s="2" t="inlineStr">
        <is>
          <t>Long-lead requests — requests to other teams that must start in Sprint 1.</t>
        </is>
      </c>
    </row>
    <row r="9">
      <c r="A9" s="2" t="inlineStr">
        <is>
          <t>Fixed versions — the exact versions of the components (checked 2026-10-03).</t>
        </is>
      </c>
    </row>
    <row r="10">
      <c r="A10" s="2" t="inlineStr"/>
    </row>
    <row r="11">
      <c r="A11" s="3" t="inlineStr">
        <is>
          <t>How to use</t>
        </is>
      </c>
    </row>
    <row r="12">
      <c r="A12" s="2" t="inlineStr">
        <is>
          <t>Change only the yellow cells: Status (select from the list) and Notes on the Issues sheet. Do not change the other cells; change issues.md and make this file again.</t>
        </is>
      </c>
    </row>
    <row r="13">
      <c r="A13" s="2" t="inlineStr">
        <is>
          <t>Status values: To do, In progress, Blocked, Done. Example: S1-01 → In progress, with a note such as "Draft schema sent to backend on 6 Oct".</t>
        </is>
      </c>
    </row>
    <row r="14">
      <c r="A14" s="2" t="inlineStr">
        <is>
          <t>Sizes: S = less than 1 day, M = 1 to 3 days, L = 3 to 5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6" customWidth="1" min="1" max="1"/>
    <col width="9" customWidth="1" min="2" max="2"/>
    <col width="9" customWidth="1" min="3" max="3"/>
    <col width="9" customWidth="1" min="4" max="4"/>
    <col width="9" customWidth="1" min="5" max="5"/>
    <col width="11" customWidth="1" min="6" max="6"/>
    <col width="9" customWidth="1" min="7" max="7"/>
    <col width="12" customWidth="1" min="8" max="8"/>
    <col width="10" customWidth="1" min="9" max="9"/>
    <col width="9" customWidth="1" min="10" max="10"/>
    <col width="9" customWidth="1" min="11" max="11"/>
  </cols>
  <sheetData>
    <row r="1">
      <c r="A1" s="4" t="inlineStr">
        <is>
          <t>Summary</t>
        </is>
      </c>
    </row>
    <row r="2">
      <c r="A2" s="5" t="inlineStr">
        <is>
          <t>All numbers are COUNTIFS formulas on the Issues sheet.</t>
        </is>
      </c>
    </row>
    <row r="4">
      <c r="A4" s="6" t="inlineStr">
        <is>
          <t>Sprint</t>
        </is>
      </c>
      <c r="B4" s="6" t="inlineStr">
        <is>
          <t>Issues</t>
        </is>
      </c>
      <c r="C4" s="6" t="inlineStr">
        <is>
          <t>Size S</t>
        </is>
      </c>
      <c r="D4" s="6" t="inlineStr">
        <is>
          <t>Size M</t>
        </is>
      </c>
      <c r="E4" s="6" t="inlineStr">
        <is>
          <t>Size L</t>
        </is>
      </c>
      <c r="F4" s="6" t="inlineStr">
        <is>
          <t>Other size</t>
        </is>
      </c>
      <c r="G4" s="6" t="inlineStr">
        <is>
          <t>To do</t>
        </is>
      </c>
      <c r="H4" s="6" t="inlineStr">
        <is>
          <t>In progress</t>
        </is>
      </c>
      <c r="I4" s="6" t="inlineStr">
        <is>
          <t>Blocked</t>
        </is>
      </c>
      <c r="J4" s="6" t="inlineStr">
        <is>
          <t>Done</t>
        </is>
      </c>
      <c r="K4" s="6" t="inlineStr">
        <is>
          <t>Done %</t>
        </is>
      </c>
    </row>
    <row r="5">
      <c r="A5" s="7" t="inlineStr">
        <is>
          <t>Sprint 1</t>
        </is>
      </c>
      <c r="B5" s="8">
        <f>COUNTIFS(Issues!$A$2:$A$33,$A5)</f>
        <v/>
      </c>
      <c r="C5" s="8">
        <f>COUNTIFS(Issues!$A$2:$A$33,$A5,Issues!$H$2:$H$33,"S")</f>
        <v/>
      </c>
      <c r="D5" s="8">
        <f>COUNTIFS(Issues!$A$2:$A$33,$A5,Issues!$H$2:$H$33,"M")</f>
        <v/>
      </c>
      <c r="E5" s="8">
        <f>COUNTIFS(Issues!$A$2:$A$33,$A5,Issues!$H$2:$H$33,"L")</f>
        <v/>
      </c>
      <c r="F5" s="8">
        <f>B5-C5-D5-E5</f>
        <v/>
      </c>
      <c r="G5" s="8">
        <f>COUNTIFS(Issues!$A$2:$A$33,$A5,Issues!$L$2:$L$33,"To do")</f>
        <v/>
      </c>
      <c r="H5" s="8">
        <f>COUNTIFS(Issues!$A$2:$A$33,$A5,Issues!$L$2:$L$33,"In progress")</f>
        <v/>
      </c>
      <c r="I5" s="8">
        <f>COUNTIFS(Issues!$A$2:$A$33,$A5,Issues!$L$2:$L$33,"Blocked")</f>
        <v/>
      </c>
      <c r="J5" s="8">
        <f>COUNTIFS(Issues!$A$2:$A$33,$A5,Issues!$L$2:$L$33,"Done")</f>
        <v/>
      </c>
      <c r="K5" s="9">
        <f>IF(B5=0,0,J5/B5)</f>
        <v/>
      </c>
    </row>
    <row r="6">
      <c r="A6" s="7" t="inlineStr">
        <is>
          <t>Sprint 2</t>
        </is>
      </c>
      <c r="B6" s="8">
        <f>COUNTIFS(Issues!$A$2:$A$33,$A6)</f>
        <v/>
      </c>
      <c r="C6" s="8">
        <f>COUNTIFS(Issues!$A$2:$A$33,$A6,Issues!$H$2:$H$33,"S")</f>
        <v/>
      </c>
      <c r="D6" s="8">
        <f>COUNTIFS(Issues!$A$2:$A$33,$A6,Issues!$H$2:$H$33,"M")</f>
        <v/>
      </c>
      <c r="E6" s="8">
        <f>COUNTIFS(Issues!$A$2:$A$33,$A6,Issues!$H$2:$H$33,"L")</f>
        <v/>
      </c>
      <c r="F6" s="8">
        <f>B6-C6-D6-E6</f>
        <v/>
      </c>
      <c r="G6" s="8">
        <f>COUNTIFS(Issues!$A$2:$A$33,$A6,Issues!$L$2:$L$33,"To do")</f>
        <v/>
      </c>
      <c r="H6" s="8">
        <f>COUNTIFS(Issues!$A$2:$A$33,$A6,Issues!$L$2:$L$33,"In progress")</f>
        <v/>
      </c>
      <c r="I6" s="8">
        <f>COUNTIFS(Issues!$A$2:$A$33,$A6,Issues!$L$2:$L$33,"Blocked")</f>
        <v/>
      </c>
      <c r="J6" s="8">
        <f>COUNTIFS(Issues!$A$2:$A$33,$A6,Issues!$L$2:$L$33,"Done")</f>
        <v/>
      </c>
      <c r="K6" s="9">
        <f>IF(B6=0,0,J6/B6)</f>
        <v/>
      </c>
    </row>
    <row r="7">
      <c r="A7" s="7" t="inlineStr">
        <is>
          <t>Sprint 3</t>
        </is>
      </c>
      <c r="B7" s="8">
        <f>COUNTIFS(Issues!$A$2:$A$33,$A7)</f>
        <v/>
      </c>
      <c r="C7" s="8">
        <f>COUNTIFS(Issues!$A$2:$A$33,$A7,Issues!$H$2:$H$33,"S")</f>
        <v/>
      </c>
      <c r="D7" s="8">
        <f>COUNTIFS(Issues!$A$2:$A$33,$A7,Issues!$H$2:$H$33,"M")</f>
        <v/>
      </c>
      <c r="E7" s="8">
        <f>COUNTIFS(Issues!$A$2:$A$33,$A7,Issues!$H$2:$H$33,"L")</f>
        <v/>
      </c>
      <c r="F7" s="8">
        <f>B7-C7-D7-E7</f>
        <v/>
      </c>
      <c r="G7" s="8">
        <f>COUNTIFS(Issues!$A$2:$A$33,$A7,Issues!$L$2:$L$33,"To do")</f>
        <v/>
      </c>
      <c r="H7" s="8">
        <f>COUNTIFS(Issues!$A$2:$A$33,$A7,Issues!$L$2:$L$33,"In progress")</f>
        <v/>
      </c>
      <c r="I7" s="8">
        <f>COUNTIFS(Issues!$A$2:$A$33,$A7,Issues!$L$2:$L$33,"Blocked")</f>
        <v/>
      </c>
      <c r="J7" s="8">
        <f>COUNTIFS(Issues!$A$2:$A$33,$A7,Issues!$L$2:$L$33,"Done")</f>
        <v/>
      </c>
      <c r="K7" s="9">
        <f>IF(B7=0,0,J7/B7)</f>
        <v/>
      </c>
    </row>
    <row r="8">
      <c r="A8" s="7" t="inlineStr">
        <is>
          <t>Sprint 4</t>
        </is>
      </c>
      <c r="B8" s="8">
        <f>COUNTIFS(Issues!$A$2:$A$33,$A8)</f>
        <v/>
      </c>
      <c r="C8" s="8">
        <f>COUNTIFS(Issues!$A$2:$A$33,$A8,Issues!$H$2:$H$33,"S")</f>
        <v/>
      </c>
      <c r="D8" s="8">
        <f>COUNTIFS(Issues!$A$2:$A$33,$A8,Issues!$H$2:$H$33,"M")</f>
        <v/>
      </c>
      <c r="E8" s="8">
        <f>COUNTIFS(Issues!$A$2:$A$33,$A8,Issues!$H$2:$H$33,"L")</f>
        <v/>
      </c>
      <c r="F8" s="8">
        <f>B8-C8-D8-E8</f>
        <v/>
      </c>
      <c r="G8" s="8">
        <f>COUNTIFS(Issues!$A$2:$A$33,$A8,Issues!$L$2:$L$33,"To do")</f>
        <v/>
      </c>
      <c r="H8" s="8">
        <f>COUNTIFS(Issues!$A$2:$A$33,$A8,Issues!$L$2:$L$33,"In progress")</f>
        <v/>
      </c>
      <c r="I8" s="8">
        <f>COUNTIFS(Issues!$A$2:$A$33,$A8,Issues!$L$2:$L$33,"Blocked")</f>
        <v/>
      </c>
      <c r="J8" s="8">
        <f>COUNTIFS(Issues!$A$2:$A$33,$A8,Issues!$L$2:$L$33,"Done")</f>
        <v/>
      </c>
      <c r="K8" s="9">
        <f>IF(B8=0,0,J8/B8)</f>
        <v/>
      </c>
    </row>
    <row r="9">
      <c r="A9" s="7" t="inlineStr">
        <is>
          <t>Total</t>
        </is>
      </c>
      <c r="B9" s="7">
        <f>SUM(B5:B8)</f>
        <v/>
      </c>
      <c r="C9" s="7">
        <f>SUM(C5:C8)</f>
        <v/>
      </c>
      <c r="D9" s="7">
        <f>SUM(D5:D8)</f>
        <v/>
      </c>
      <c r="E9" s="7">
        <f>SUM(E5:E8)</f>
        <v/>
      </c>
      <c r="F9" s="7">
        <f>SUM(F5:F8)</f>
        <v/>
      </c>
      <c r="G9" s="7">
        <f>SUM(G5:G8)</f>
        <v/>
      </c>
      <c r="H9" s="7">
        <f>SUM(H5:H8)</f>
        <v/>
      </c>
      <c r="I9" s="7">
        <f>SUM(I5:I8)</f>
        <v/>
      </c>
      <c r="J9" s="7">
        <f>SUM(J5:J8)</f>
        <v/>
      </c>
      <c r="K9" s="10">
        <f>IF(B9=0,0,J9/B9)</f>
        <v/>
      </c>
    </row>
    <row r="11">
      <c r="A11" s="5" t="inlineStr">
        <is>
          <t>"Other size" counts issues with a size that is not S, M or L (S1-05 is "M + 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4" customWidth="1" min="3" max="3"/>
    <col width="14" customWidth="1" min="4" max="4"/>
    <col width="22" customWidth="1" min="5" max="5"/>
    <col width="22" customWidth="1" min="6" max="6"/>
    <col width="22" customWidth="1" min="7" max="7"/>
    <col width="7" customWidth="1" min="8" max="8"/>
    <col width="70" customWidth="1" min="9" max="9"/>
    <col width="60" customWidth="1" min="10" max="10"/>
    <col width="60" customWidth="1" min="11" max="11"/>
    <col width="13" customWidth="1" min="12" max="12"/>
    <col width="30" customWidth="1" min="13" max="13"/>
  </cols>
  <sheetData>
    <row r="1">
      <c r="A1" s="6" t="inlineStr">
        <is>
          <t>Sprint</t>
        </is>
      </c>
      <c r="B1" s="6" t="inlineStr">
        <is>
          <t>ID</t>
        </is>
      </c>
      <c r="C1" s="6" t="inlineStr">
        <is>
          <t>Title</t>
        </is>
      </c>
      <c r="D1" s="6" t="inlineStr">
        <is>
          <t>Type</t>
        </is>
      </c>
      <c r="E1" s="6" t="inlineStr">
        <is>
          <t>Owner</t>
        </is>
      </c>
      <c r="F1" s="6" t="inlineStr">
        <is>
          <t>Depends on</t>
        </is>
      </c>
      <c r="G1" s="6" t="inlineStr">
        <is>
          <t>Tested with</t>
        </is>
      </c>
      <c r="H1" s="6" t="inlineStr">
        <is>
          <t>Size</t>
        </is>
      </c>
      <c r="I1" s="6" t="inlineStr">
        <is>
          <t>What to do</t>
        </is>
      </c>
      <c r="J1" s="6" t="inlineStr">
        <is>
          <t>Acceptance criteria</t>
        </is>
      </c>
      <c r="K1" s="6" t="inlineStr">
        <is>
          <t>How to test</t>
        </is>
      </c>
      <c r="L1" s="6" t="inlineStr">
        <is>
          <t>Status</t>
        </is>
      </c>
      <c r="M1" s="6" t="inlineStr">
        <is>
          <t>Notes</t>
        </is>
      </c>
    </row>
    <row r="2">
      <c r="A2" s="11" t="inlineStr">
        <is>
          <t>Sprint 1</t>
        </is>
      </c>
      <c r="B2" s="12" t="inlineStr">
        <is>
          <t>S1-01</t>
        </is>
      </c>
      <c r="C2" s="13" t="inlineStr">
        <is>
          <t>Map one GCP job and write the JSON body v1</t>
        </is>
      </c>
      <c r="D2" s="13" t="inlineStr">
        <is>
          <t>Feature</t>
        </is>
      </c>
      <c r="E2" s="13" t="inlineStr">
        <is>
          <t>GCP job developer. Backend reviews and approves.</t>
        </is>
      </c>
      <c r="F2" s="13" t="inlineStr">
        <is>
          <t>—</t>
        </is>
      </c>
      <c r="G2" s="13" t="inlineStr">
        <is>
          <t>S1-03 (a real body agrees with the schema)</t>
        </is>
      </c>
      <c r="H2" s="13" t="inlineStr">
        <is>
          <t>M</t>
        </is>
      </c>
      <c r="I2" s="13" t="inlineStr">
        <is>
          <t>What: The GCP job developer maps one job to the record fields of the
standard. Then the developer writes the JSON Schema of the run
summary, with example bodies. The schema is kept in this repository, because the backend
examines each request with it. Thus backend reviews and approves the schema. There is no
separate mapping table. The description of each field in the schema tells where its value
comes from in the job.
The developer answers these questions in the schema or in the pull request:
- Where does the job publish the results (file and function)? The send step comes after this point.
- Which part of the prompt is the instruction (question)? Which part is the source material (retrieval_context)?
- How does the job show a refusal or a safety block (refused)?
- Does the job use the Gemini Batch API (then latency_s is null) or online calls?
- Where can PII occur? The redaction in S1-03 must cover these locations.
- When the job fails, what does it log now? Can it still send a run summary with status: failed?</t>
        </is>
      </c>
      <c r="J2" s="13" t="inlineStr">
        <is>
          <t>• The schema file and 4 examples are in the repository: a normal run, a partial failure, a Batch API run with latency_s set to null, and an identity-only run (S1-03). The examples use synthetic text only.
• The schema accepts records: [] with records_reason: records_not_approved. This is the identity-only mode.
• Each field has a description that tells its source in the job. The required fields and the optional fields are clear. The schema rejects unknown fields.
• Free text is allowed only in question, answer, retrieval_context and tool_calls. The schema has no customer ID field.
• The body has no trace field. The trace ID goes in the traceparent HTTP header (S1-05).
• The logs are agreed with the GCP developer: the job writes a log entry when the job fails and when a send to the monitor fails. The monitor team can read these logs during the pilot.
• Backend, RAI and security (S1-08) reviewed the schema.</t>
        </is>
      </c>
      <c r="K2" s="13" t="inlineStr">
        <is>
          <t>1. Unit: pytest examines each example with the schema. Make sure that a wrong example (no run_id, a wrong type, an unknown field) fails.
2. Paired with S1-03: build a body from a real run. Make sure that it agrees with the schema.</t>
        </is>
      </c>
      <c r="L2" s="14" t="inlineStr">
        <is>
          <t>To do</t>
        </is>
      </c>
      <c r="M2" s="14" t="inlineStr"/>
    </row>
    <row r="3">
      <c r="A3" s="11" t="inlineStr">
        <is>
          <t>Sprint 1</t>
        </is>
      </c>
      <c r="B3" s="12" t="inlineStr">
        <is>
          <t>S1-02</t>
        </is>
      </c>
      <c r="C3" s="13" t="inlineStr">
        <is>
          <t>Receiving API POST /api/batch/runs with API key</t>
        </is>
      </c>
      <c r="D3" s="13" t="inlineStr">
        <is>
          <t>Feature</t>
        </is>
      </c>
      <c r="E3" s="13" t="inlineStr">
        <is>
          <t>Backend</t>
        </is>
      </c>
      <c r="F3" s="13" t="inlineStr">
        <is>
          <t>S1-01 (the draft schema is sufficient to start)</t>
        </is>
      </c>
      <c r="G3" s="13" t="inlineStr">
        <is>
          <t>S1-03</t>
        </is>
      </c>
      <c r="H3" s="13" t="inlineStr">
        <is>
          <t>L</t>
        </is>
      </c>
      <c r="I3" s="13" t="inlineStr">
        <is>
          <t>What: Add an endpoint that examines the API key, examines the run summary with the
S1-01 schema, and stores the run one time in a new table batch_runs. Add the table with an
additive migration in backend/app/db.py. A stored row never changes. The trace ID comes
from the traceparent header through the OTel context (S1-05 part B). The backend stores it
with the row.
Authentication: a static API key now
There is no VPN between GCP and AWS yet. Thus the request goes across the internet. Three
layers protect it:
Layer | How | Owner
API key | Authorization: Bearer &lt;key&gt;. A random key of at least 32 bytes for this use case. The GCP job reads it from Secret Manager. The backend stores only its SHA-256 hash and compares in constant time. | Backend + GCP developer
Encryption | HTTPS only, so that the key is never visible on the network (S1-04) | Platform
Network | The firewall allows only the egress IP of the GCP job, for example a Cloud NAT static IP (S1-04) | Your team
Other options:
Option | Shared secret | Work | Decision
Static API key + HTTPS + IP allowlist | Yes | Low. The same method as the existing tokens of the monitor. | Selected
Google service-account identity token: the job gets a token that Google signs. The backend examines the signature and the service-account email. | No | Medium. It needs the google-auth package. | Not in October. Only if security requires it (S1-08).
Mutual TLS | No | High. Each job needs a client certificate. | Not planned
VPN or private link | — | Depends on the network team | Not available yet</t>
        </is>
      </c>
      <c r="J3" s="13" t="inlineStr">
        <is>
          <t>• A correct body with a correct key: 201. One row is stored.
• The same body again: 200. There is still one row.
• The same (use_case_id, run_id) with different content: 409. The first row does not change.
• A wrong body: 400 with the field errors. Nothing is stored. This includes an unknown field, a missing record field, latency_s set to 0, and more records than the sample size allows.
• No key or a wrong key: 401. Nothing is stored. The key and the body are never written to a log.
• The records are stored in the run as they arrived. The backend keeps record_id for the evaluator.
• An identity-only body (records: [], reason records_not_approved) is stored. Later, all five metrics of this run show "Unknown" with this reason, because they all come from the records.</t>
        </is>
      </c>
      <c r="K3" s="13" t="inlineStr">
        <is>
          <t>1. Unit and integration: pytest for each acceptance criterion, with the S1-01 examples.
2. Full backend suite: .venv/bin/python -m pytest -q -m "not slow".
3. Paired with S1-03: a real GCP job sends to the test host. Make sure that one row exists for its run_id.</t>
        </is>
      </c>
      <c r="L3" s="14" t="inlineStr">
        <is>
          <t>To do</t>
        </is>
      </c>
      <c r="M3" s="14" t="inlineStr"/>
    </row>
    <row r="4">
      <c r="A4" s="11" t="inlineStr">
        <is>
          <t>Sprint 1</t>
        </is>
      </c>
      <c r="B4" s="12" t="inlineStr">
        <is>
          <t>S1-03</t>
        </is>
      </c>
      <c r="C4" s="13" t="inlineStr">
        <is>
          <t>GCP job sends the run summary after it publishes</t>
        </is>
      </c>
      <c r="D4" s="13" t="inlineStr">
        <is>
          <t>Feature</t>
        </is>
      </c>
      <c r="E4" s="13" t="inlineStr">
        <is>
          <t>GCP job developer</t>
        </is>
      </c>
      <c r="F4" s="13" t="inlineStr">
        <is>
          <t>To build: S1-01. To test from start to end: S1-02 and S1-04.</t>
        </is>
      </c>
      <c r="G4" s="13" t="inlineStr">
        <is>
          <t>S1-02</t>
        </is>
      </c>
      <c r="H4" s="13" t="inlineStr">
        <is>
          <t>M</t>
        </is>
      </c>
      <c r="I4" s="13" t="inlineStr">
        <is>
          <t>What: This is a feature in the code of the GCP job. It is not a test step. Add a step
after the publish step. The step does these actions:
1. It selects a uniform random sample of records (default 50).
2. It replaces phone numbers, email addresses and national ID numbers with [PHONE], [EMAIL] and [NATIONAL_ID].
3. It builds the run summary.
4. It sends the run summary with the API key from Secret Manager.
5. It tries again with a delay after a network error or a 5xx response.
A failed send must not stop the business job.
Identity-only mode. The setting SEND_RECORDS controls the records. Until security
approves (S1-08), the setting is off. Then the job sends only the run identity, with
records: [] and the reason records_not_approved. No text leaves GCP. With this mode, the
team can test the send step, the API key, the retries and OTel from 6 October. When security
approves, set SEND_RECORDS to on. No code change is necessary.
The developer can build and unit test the step from Monday with the S1-01 schema and a fake
server. Only the test from start to end waits for the API (S1-02) on the test host (S1-04).</t>
        </is>
      </c>
      <c r="J4" s="13" t="inlineStr">
        <is>
          <t>• The step runs only after the publish step is successful.
• The step tries again after a timeout or a 5xx. It does not try again after 400, 401 or 409.
• The job ends successfully also when the monitor is not available.
• Each failed send writes a log entry with run_id, the HTTP status or the error type, and the attempt number. The log entry never contains the key or the body.
• A failed job writes a log entry. It sends a run summary with status: failed if S1-01 agreed that it can.
• The sample size follows the setting. A run that is smaller than the sample sends all its requests.
• The body contains no raw phone number, email address or national ID number.
• When SEND_RECORDS is off, the body has records: [] and the reason records_not_approved. The default is off.
• The job verifies the HTTPS certificate. With a private CA (S1-04), the job trusts that CA file. It never turns the verification off.</t>
        </is>
      </c>
      <c r="K4" s="13" t="inlineStr">
        <is>
          <t>1. Unit (GCP repository): make sure that the body agrees with the S1-01 schema, that synthetic PII becomes placeholders, and that the sample size is correct. Make sure that the sender tries again after a fake 503, stops after 400, and logs each failure.
2. Paired with S1-02 on the test host: run the job in the GCP dev project. Make sure that the job log shows 201, and that batch_runs has one row with the same run_id. Run the job again. Make sure that the log shows 200 and that there is still one row.
3. Failure test: give the job a wrong URL. Make sure that the job ends successfully and that Cloud Logging shows the failed sends.
4. Identity-only test: set SEND_RECORDS to off and run the job. Make sure that the stored run has no records and has the reason records_not_approved.</t>
        </is>
      </c>
      <c r="L4" s="14" t="inlineStr">
        <is>
          <t>To do</t>
        </is>
      </c>
      <c r="M4" s="14" t="inlineStr"/>
    </row>
    <row r="5">
      <c r="A5" s="11" t="inlineStr">
        <is>
          <t>Sprint 1</t>
        </is>
      </c>
      <c r="B5" s="12" t="inlineStr">
        <is>
          <t>S1-04</t>
        </is>
      </c>
      <c r="C5" s="13" t="inlineStr">
        <is>
          <t>Deploy the monitor backend to a test host that GCP can reach</t>
        </is>
      </c>
      <c r="D5" s="13" t="inlineStr">
        <is>
          <t>Infrastructure</t>
        </is>
      </c>
      <c r="E5" s="13" t="inlineStr">
        <is>
          <t>Platform</t>
        </is>
      </c>
      <c r="F5" s="13" t="inlineStr">
        <is>
          <t>The prerequisites below. Due Tuesday 6 October.</t>
        </is>
      </c>
      <c r="G5" s="13" t="inlineStr">
        <is>
          <t>S1-03</t>
        </is>
      </c>
      <c r="H5" s="13" t="inlineStr">
        <is>
          <t>M</t>
        </is>
      </c>
      <c r="I5" s="13" t="inlineStr">
        <is>
          <t>What: Install the monitor backend, its database and the Collector (S1-06) on a test host
that the GCP dev project can reach.
Prerequisites (ask the network team first)
Question | Why it is important | Owner
Where does the test host run (AWS account, server or other)? | It decides the firewall and the certificate options | Your team
How does the network allow traffic between GCP and the host now? | There is no VPN yet. The requests go across the internet. | Network team
Can port 443 open for one front door (S1-06)? | The API and the Collector both use it. One port, one certificate, one allowlist. | Network team
What is the egress IP of the GCP job, for example a Cloud NAT static IP? | The firewall allowlist (S1-02) | GCP developer
Is there a public DNS name for the host? | A public certificate needs it | Your team
Do we use a public CA certificate, or a private or self-signed certificate? | See the table below | Your team
Certificate options. Both give real HTTPS.
Option | Needs | On the GCP job
Public CA (for example Let's Encrypt or AWS Certificate Manager) | A public DNS name, and a method to prove that you own it | Nothing. The job trusts it by default.
Private CA or self-signed | Nothing public. We make the certificate and replace it before it expires. | The job trusts our CA file (S1-03). The verification stays on.
Plain HTTP is not allowed, because the API key would go across the network without encryption.</t>
        </is>
      </c>
      <c r="J5" s="13" t="inlineStr">
        <is>
          <t>• The answers to the prerequisites are in this issue.
• The monitor backend, PostgreSQL and the Collector run on the test host.
• The API uses HTTPS (public or private CA). Plain HTTP is refused.
• Only the GCP egress IP can reach the API and the OTLP endpoint. The database port is closed to the internet.
• The API key and the other secrets are host secrets. They are not in the repository.</t>
        </is>
      </c>
      <c r="K5" s="13" t="inlineStr">
        <is>
          <t>1. From the GCP dev project: curl https://&lt;test-host&gt;/api/health returns 200. Use --cacert for a private CA.
2. From an IP that is not on the allowlist: the connection is refused.
3. POST /api/batch/runs without a key returns 401.
4. A port scan from the internet shows only the agreed ports.
5. If the host is late: the GCP developer saves a real body to a file. We send it to the local stack and record that the real delivery was not tested.</t>
        </is>
      </c>
      <c r="L5" s="14" t="inlineStr">
        <is>
          <t>To do</t>
        </is>
      </c>
      <c r="M5" s="14" t="inlineStr"/>
    </row>
    <row r="6">
      <c r="A6" s="11" t="inlineStr">
        <is>
          <t>Sprint 1</t>
        </is>
      </c>
      <c r="B6" s="12" t="inlineStr">
        <is>
          <t>S1-05</t>
        </is>
      </c>
      <c r="C6" s="13" t="inlineStr">
        <is>
          <t>OTel in the GCP job and the backend: one trace for each run</t>
        </is>
      </c>
      <c r="D6" s="13" t="inlineStr">
        <is>
          <t>Feature</t>
        </is>
      </c>
      <c r="E6" s="13" t="inlineStr">
        <is>
          <t>Part A: GCP job developer. Part B: backend.</t>
        </is>
      </c>
      <c r="F6" s="13" t="inlineStr">
        <is>
          <t>Part A: S1-03. Part B: S1-02. The OTel packages are approved in the Sprint 1 spec.</t>
        </is>
      </c>
      <c r="G6" s="13" t="inlineStr">
        <is>
          <t>S1-06</t>
        </is>
      </c>
      <c r="H6" s="13" t="inlineStr">
        <is>
          <t>M + M</t>
        </is>
      </c>
      <c r="I6" s="13" t="inlineStr">
        <is>
          <t>What: Add the OpenTelemetry SDK on the two sides, so that one batch run is one trace.
Step | Where | What happens
1 | GCP job (part A) | Start a root span batch.run with use_case_id and run_id
2 | GCP job (part A) | Make the child spans batch.submit, batch.harvest, batch.publish and batch.send
3 | GCP job (part A) | Call the API with an HTTP client that has OTel instrumentation. The client adds the traceparent header.
4 | Backend (part B) | The FastAPI instrumentation reads the header. The monitor.ingest span becomes a child of the batch.send span of the job.
5 | Backend (part B) | The backend stores the trace ID in the batch_runs row
6 | Both | The spans go over OTLP/HTTP to the Collector (S1-06)
Text in spans: GCP spans contain no text. Backend spans can contain the redacted record
text that the API accepted (the monitor.evaluate span in S2-05). The monitor.ingest span
contains no body content. The token spans and the attribute allowlist come in S2-04.</t>
        </is>
      </c>
      <c r="J6" s="13" t="inlineStr">
        <is>
          <t>• Part A: one trace for each run. batch.send is the parent of the HTTP client span. The request has a traceparent header.
• Part B: monitor.ingest has the same trace ID as the root span of the job. The batch_runs row stores this trace ID.
• A request without traceparent starts a new trace in the backend. The backend stores its ID.
• The spans contain only IDs and the status (use_case_id, run_id, result). They contain no text from the body.
• If the Collector is not available, the job and the API continue to work. The job logs the failed export.</t>
        </is>
      </c>
      <c r="K6" s="13" t="inlineStr">
        <is>
          <t>1. Unit, part A (GCP repository): use an in-memory span exporter. Make sure that the span names and the parent links are correct, and that the request has a traceparent header.
2. Unit, part B (backend): send a request with a known traceparent. Make sure that the trace ID and the parent of the span are correct, and that the stored trace ID is correct.
3. Paired with S1-06 on the test host: run the job. Make sure that the spans of the job and the backend span have the same trace ID in the Collector output. Run scripts/check_trace.py &lt;trace_id&gt;.
4. If GCP cannot reach the Collector yet: the job sends its spans to Cloud Logging. The trace is still connected, because the header arrives at the backend.</t>
        </is>
      </c>
      <c r="L6" s="14" t="inlineStr">
        <is>
          <t>To do</t>
        </is>
      </c>
      <c r="M6" s="14" t="inlineStr"/>
    </row>
    <row r="7">
      <c r="A7" s="11" t="inlineStr">
        <is>
          <t>Sprint 1</t>
        </is>
      </c>
      <c r="B7" s="12" t="inlineStr">
        <is>
          <t>S1-06</t>
        </is>
      </c>
      <c r="C7" s="13" t="inlineStr">
        <is>
          <t>Minimal OTel Collector and front door (local stack and test host)</t>
        </is>
      </c>
      <c r="D7" s="13" t="inlineStr">
        <is>
          <t>Infrastructure</t>
        </is>
      </c>
      <c r="E7" s="13" t="inlineStr">
        <is>
          <t>Platform</t>
        </is>
      </c>
      <c r="F7" s="13" t="inlineStr">
        <is>
          <t>Local: none. Test host: S1-04</t>
        </is>
      </c>
      <c r="G7" s="13" t="inlineStr">
        <is>
          <t>S1-05</t>
        </is>
      </c>
      <c r="H7" s="13" t="inlineStr">
        <is>
          <t>M</t>
        </is>
      </c>
      <c r="I7" s="13" t="inlineStr">
        <is>
          <t>What: Add the OTel Collector to Docker Compose. Use the contrib image with a fixed
version. The Collector receives spans on OTLP/HTTP. It writes the spans to the debug
output and to a file in a mounted folder. The Langfuse export comes in S2-03.
On the test host, put one reverse proxy (the front door) in front of the backend and the
Collector:
Path | Goes to | Who calls it | Protection
https://&lt;host&gt;/api/* | Backend | GCP job | API key, IP allowlist
https://&lt;host&gt;/otlp/* | Collector | GCP job | OTLP token, IP allowlist
Private network inside the host | Collector | Backend | Not open to the internet
The firewall opens only port 443. The front door has one certificate (S1-04).
From Sprint 2, the same front door also serves the staff: the dashboard on port 8443 and
Langfuse on port 3443, with a separate allowlist for the office or VPN IPs (Sprint 2
prerequisites).</t>
        </is>
      </c>
      <c r="J7" s="13" t="inlineStr">
        <is>
          <t>• docker compose up starts the Collector with a health check.
• The Collector image has the version from the fixed-versions table. It does not use latest.
• Spans that come in on OTLP/HTTP appear in the file output.
• On the test host, the front door is the only public entry. It accepts only port 443 and only the GCP egress IP.
• /otlp/* rejects a request without the correct OTLP token. The OTLP token is different from the API key.
• The GCP job reads the OTLP token from Secret Manager and sends it with OTEL_EXPORTER_OTLP_HEADERS.
• The Collector configuration is in the repository. It contains no secrets.
• After S2-03 works, a cleanup step deletes the file output on the test host.</t>
        </is>
      </c>
      <c r="K7" s="13" t="inlineStr">
        <is>
          <t>1. Local: send test spans with telemetrygen traces --otlp-http. Make sure that the file output contains them.
2. Test host, from the GCP dev project: send test spans to https://&lt;host&gt;/otlp/v1/traces with the token. Make sure that the file output contains them.
3. Send spans without the token. Make sure that they are rejected.
4. Send a request from an IP that is not on the allowlist. Make sure that the connection is refused.
5. Paired with S1-05: see the test steps in S1-05.</t>
        </is>
      </c>
      <c r="L7" s="14" t="inlineStr">
        <is>
          <t>To do</t>
        </is>
      </c>
      <c r="M7" s="14" t="inlineStr"/>
    </row>
    <row r="8">
      <c r="A8" s="11" t="inlineStr">
        <is>
          <t>Sprint 1</t>
        </is>
      </c>
      <c r="B8" s="12" t="inlineStr">
        <is>
          <t>S1-07</t>
        </is>
      </c>
      <c r="C8" s="13" t="inlineStr">
        <is>
          <t>Trace check tool</t>
        </is>
      </c>
      <c r="D8" s="13" t="inlineStr">
        <is>
          <t>Feature</t>
        </is>
      </c>
      <c r="E8" s="13" t="inlineStr">
        <is>
          <t>Backend</t>
        </is>
      </c>
      <c r="F8" s="13" t="inlineStr">
        <is>
          <t>S1-02, S1-05 part B, S1-06, S1-11</t>
        </is>
      </c>
      <c r="G8" s="13" t="inlineStr">
        <is>
          <t>S1-05 + S1-06</t>
        </is>
      </c>
      <c r="H8" s="13" t="inlineStr">
        <is>
          <t>S</t>
        </is>
      </c>
      <c r="I8" s="13" t="inlineStr">
        <is>
          <t>What: Write the script scripts/check_trace.py &lt;trace_id&gt;. The script shows the result
for each item:
Item | Where the script looks | "Found" means
Run row | Postgres table batch_runs | A row has this trace ID
GCP root span | Collector file | A batch.run span has this trace ID
Monitor span | Collector file | A monitor.ingest span has this trace ID
Parent link | Collector file | The parent of monitor.ingest is the job's batch.send span
Langfuse trace and score | Langfuse API | Added in S2-03
Run the script on the host where the stack runs. The script uses the read-only database
account from S1-11. It is a tool for developers and operators. It is not part of the
product.</t>
        </is>
      </c>
      <c r="J8" s="13" t="inlineStr">
        <is>
          <t>• The script shows "found" or "missing" for each item, with the run ID and the times.
• If an item is missing, the script stops with a non-zero exit code. CI and the drills can use this code.
• The script reads credentials from environment variables. It never shows them.
• The script only reads. It does not change the database or the files.</t>
        </is>
      </c>
      <c r="K8" s="13" t="inlineStr">
        <is>
          <t>1. Paired with S1-05 and S1-06: send one example request with a known traceparent. Run the script with this trace ID. Make sure that the run row and the monitor span are "found".
2. On the test host, run the GCP job. Run the script with the trace ID of the run. Make sure that all four items are "found".
3. Run the script with a random trace ID. Make sure that all items are "missing" and the exit code is not zero.</t>
        </is>
      </c>
      <c r="L8" s="14" t="inlineStr">
        <is>
          <t>To do</t>
        </is>
      </c>
      <c r="M8" s="14" t="inlineStr"/>
    </row>
    <row r="9">
      <c r="A9" s="11" t="inlineStr">
        <is>
          <t>Sprint 1</t>
        </is>
      </c>
      <c r="B9" s="12" t="inlineStr">
        <is>
          <t>S1-08</t>
        </is>
      </c>
      <c r="C9" s="13" t="inlineStr">
        <is>
          <t>Security approval for the Sprint 1 data flow</t>
        </is>
      </c>
      <c r="D9" s="13" t="inlineStr">
        <is>
          <t>Decision</t>
        </is>
      </c>
      <c r="E9" s="13" t="inlineStr">
        <is>
          <t>Security + platform</t>
        </is>
      </c>
      <c r="F9" s="13" t="inlineStr">
        <is>
          <t>S1-01</t>
        </is>
      </c>
      <c r="G9" s="13" t="inlineStr">
        <is>
          <t>—</t>
        </is>
      </c>
      <c r="H9" s="13" t="inlineStr">
        <is>
          <t>S</t>
        </is>
      </c>
      <c r="I9" s="13" t="inlineStr">
        <is>
          <t>What: Get written approval for all the data that Sprint 1 sends between the clouds.
PII means "personally identifiable information". PII is data that can identify a
person, for example a name, a phone number, an email address, a national ID number, a
home address or a customer account number. The standard
replaces phone numbers, email addresses and national ID numbers with placeholders before
the data leaves GCP. Security must tell us if other types of PII must also be replaced.
If security adds more types, the job must find them before it sends the data. Names are
difficult to find automatically.
Security must approve these items:
Item | Issue
Redacted records leave GCP. They go to the monitor, the Claude judge (Anthropic API) and Langfuse. | S1-01, S1-03
The list of PII types that the job replaces with placeholders | S1-03
The retention period for stored records | S1-02
An API key on the internet without a VPN, with an IP allowlist | S1-02, S1-04
The certificate type (public CA or private CA) | S1-04
The OTLP endpoint that GCP can reach through the front door | S1-06
Real redacted data on the test host | S1-04
Read access to GCP Cloud Logging for the monitor team | S1-01
Database accounts, and who can read real data | S1-11</t>
        </is>
      </c>
      <c r="J9" s="13" t="inlineStr">
        <is>
          <t>• Each item in the table is approved in writing, or blocked with an owner and a date.
• The list of PII types is written down.
• The name of a security contact is in this issue.</t>
        </is>
      </c>
      <c r="K9" s="13" t="inlineStr">
        <is>
          <t>1. Link the approval in this issue.
2. Compare the S1-01 schema with the approved fields, one field at a time.
3. Compare the S1-03 placeholder list with the approved PII types.
4. If the approval is not complete by 8 October, the job does not send records. All five metrics show "Unknown".</t>
        </is>
      </c>
      <c r="L9" s="14" t="inlineStr">
        <is>
          <t>To do</t>
        </is>
      </c>
      <c r="M9" s="14" t="inlineStr"/>
    </row>
    <row r="10">
      <c r="A10" s="11" t="inlineStr">
        <is>
          <t>Sprint 1</t>
        </is>
      </c>
      <c r="B10" s="12" t="inlineStr">
        <is>
          <t>S1-09</t>
        </is>
      </c>
      <c r="C10" s="13" t="inlineStr">
        <is>
          <t>Inventory of the 10 use cases and October run dates</t>
        </is>
      </c>
      <c r="D10" s="13" t="inlineStr">
        <is>
          <t>Discovery</t>
        </is>
      </c>
      <c r="E10" s="13" t="inlineStr">
        <is>
          <t>PM + source owners</t>
        </is>
      </c>
      <c r="F10" s="13" t="inlineStr">
        <is>
          <t>—</t>
        </is>
      </c>
      <c r="G10" s="13" t="inlineStr">
        <is>
          <t>—</t>
        </is>
      </c>
      <c r="H10" s="13" t="inlineStr">
        <is>
          <t>M</t>
        </is>
      </c>
      <c r="I10" s="13" t="inlineStr">
        <is>
          <t>What: Make one table with one row for each of the 10 GCP use cases. Sprints 2, 3 and 4
use this table to select the order of the use cases. The due date is Friday 9 October.
Column | Why we need it
Use-case ID | The registry and the API use this ID
Owner | The person who confirms that a run is real
GCP job and repository | The location of the code that sends the data
Developer of the job | The person who adds the send step and OTel. This person can be different for each job.
GCP project and egress IP | The firewall allows only known IP addresses (S1-04). Each project can have a different IP.
October run dates | The dates when a real run can arrive. If a job does not run in October, book a controlled rerun.
Batch API or online calls | With the Batch API, latency_s is null
Approximate number of requests in each run | This number sets the sample size and the judge cost
Language: Thai, English or mixed | RAI must know the language that the judge examines
Data sensitivity | Security uses this for the approval (S1-08)
Owner of the task description | The person who writes the task description for the judge, with RAI</t>
        </is>
      </c>
      <c r="J10" s="13" t="inlineStr">
        <is>
          <t>• The table has exactly 10 rows. Each row has a named owner and a named developer.
• Each use case has at least one October run date, or a booked controlled rerun.
• Each GCP project has a known egress IP for the allowlist.
• The order of the use cases for Sprints 2 to 4 is agreed.</t>
        </is>
      </c>
      <c r="K10" s="13" t="inlineStr">
        <is>
          <t>1. Each owner confirms their row in the issue comments.
2. Platform adds all the egress IPs to the allowlist plan (S1-04).
Risk: The team examined only 6 pipelines in 4 repositories. If the table has fewer
than 10 real jobs on 9 October, change the October goal and tell the project owner.</t>
        </is>
      </c>
      <c r="L10" s="14" t="inlineStr">
        <is>
          <t>To do</t>
        </is>
      </c>
      <c r="M10" s="14" t="inlineStr"/>
    </row>
    <row r="11">
      <c r="A11" s="11" t="inlineStr">
        <is>
          <t>Sprint 1</t>
        </is>
      </c>
      <c r="B11" s="12" t="inlineStr">
        <is>
          <t>S1-10</t>
        </is>
      </c>
      <c r="C11" s="13" t="inlineStr">
        <is>
          <t>First real run end to end</t>
        </is>
      </c>
      <c r="D11" s="13" t="inlineStr">
        <is>
          <t>Verification</t>
        </is>
      </c>
      <c r="E11" s="13" t="inlineStr">
        <is>
          <t>Backend + GCP job developer</t>
        </is>
      </c>
      <c r="F11" s="13" t="inlineStr">
        <is>
          <t>S1-01, S1-02, S1-03, S1-04, S1-05, S1-06, S1-07, S1-11</t>
        </is>
      </c>
      <c r="G11" s="13" t="inlineStr">
        <is>
          <t>S1-07 (trace check tool)</t>
        </is>
      </c>
      <c r="H11" s="13" t="inlineStr">
        <is>
          <t>S</t>
        </is>
      </c>
      <c r="I11" s="13" t="inlineStr">
        <is>
          <t>What: This is the Sprint 1 demo. One real GCP job does one real run. Show that the data
and the trace arrived. Use the S1-07 tool to show the result. Sprint 1 has no read API.
The read API for the dashboard comes in S2-07.</t>
        </is>
      </c>
      <c r="J11" s="13" t="inlineStr">
        <is>
          <t>• The source owner confirms that the run was a real published run.
• The batch_runs table has the run one time only.
• The job spans and the monitor.ingest span have the same trace ID in the Collector.
• The parent of monitor.ingest is the job's batch.send span.
• If records were sent, they contain placeholders and no raw PII.
• If security did not approve records yet, the run is in identity-only mode. The result says "records not yet approved".</t>
        </is>
      </c>
      <c r="K11" s="13" t="inlineStr">
        <is>
          <t>1. Start the real run, or wait for the scheduled run.
2. Find the trace ID of the run in the job log.
3. Run scripts/check_trace.py &lt;trace_id&gt; on the test host. Make sure that all four items are "found".
4. Attach the output of the tool to this issue. Do not attach secrets or record text.</t>
        </is>
      </c>
      <c r="L11" s="14" t="inlineStr">
        <is>
          <t>To do</t>
        </is>
      </c>
      <c r="M11" s="14" t="inlineStr"/>
    </row>
    <row r="12">
      <c r="A12" s="11" t="inlineStr">
        <is>
          <t>Sprint 1</t>
        </is>
      </c>
      <c r="B12" s="12" t="inlineStr">
        <is>
          <t>S1-11</t>
        </is>
      </c>
      <c r="C12" s="13" t="inlineStr">
        <is>
          <t>Database accounts for the backend and the developers</t>
        </is>
      </c>
      <c r="D12" s="13" t="inlineStr">
        <is>
          <t>Infrastructure</t>
        </is>
      </c>
      <c r="E12" s="13" t="inlineStr">
        <is>
          <t>Platform + backend</t>
        </is>
      </c>
      <c r="F12" s="13" t="inlineStr">
        <is>
          <t>S1-04</t>
        </is>
      </c>
      <c r="G12" s="13" t="inlineStr">
        <is>
          <t>S1-02, S1-07</t>
        </is>
      </c>
      <c r="H12" s="13" t="inlineStr">
        <is>
          <t>S</t>
        </is>
      </c>
      <c r="I12" s="13" t="inlineStr">
        <is>
          <t>What: Make database accounts on the test host. Do not use one shared administrator
account.
Account | Type | Used by | Permissions
monitor_app | Bot | The backend service | Owns the monitor schema. Reads and writes the monitor tables. Runs the migrations when the backend starts, as the backend does now.
monitor_readonly | Bot | The S1-07 tool and other checks | Reads the monitor tables only
dev_&lt;name&gt; | Person, one for each developer | Developers | Read-only on the test host, because the test host has real redacted data. Full access only on the local stack.
Postgres administrator | Person | Platform only | For emergencies only. The backend and the tools do not use it.
Rules:
- Keep the passwords as host secrets. Do not put them in the repository or in chat.
- The database port is not open to the internet. Developers connect through SSH or a bastion host.
- Remove a developer account when the person leaves the project.
- Langfuse gets its own database account in S2-03.</t>
        </is>
      </c>
      <c r="J12" s="13" t="inlineStr">
        <is>
          <t>• Each account in the table exists, with the given permissions.
• The backend uses monitor_app in DATABASE_URL. It does not use the administrator account.
• A developer can connect through SSH or the bastion host. A developer cannot connect directly from the internet.
• This issue lists the accounts and their owners. It contains no passwords.</t>
        </is>
      </c>
      <c r="K12" s="13" t="inlineStr">
        <is>
          <t>1. Start the backend with monitor_app. Make sure that the migrations run and the API stores a run.
2. Connect as monitor_readonly. Make sure that SELECT works and INSERT fails.
3. Connect as a dev_&lt;name&gt; account on the test host. Make sure that INSERT fails.
4. Try to connect to the database port from the internet. Make sure that the connection is refused.
---</t>
        </is>
      </c>
      <c r="L12" s="14" t="inlineStr">
        <is>
          <t>To do</t>
        </is>
      </c>
      <c r="M12" s="14" t="inlineStr"/>
    </row>
    <row r="13">
      <c r="A13" s="15" t="inlineStr">
        <is>
          <t>Sprint 2</t>
        </is>
      </c>
      <c r="B13" s="16" t="inlineStr">
        <is>
          <t>S2-01</t>
        </is>
      </c>
      <c r="C13" s="13" t="inlineStr">
        <is>
          <t>Source registry: YAML settings and API key hashes</t>
        </is>
      </c>
      <c r="D13" s="13" t="inlineStr">
        <is>
          <t>Feature</t>
        </is>
      </c>
      <c r="E13" s="13" t="inlineStr">
        <is>
          <t>Backend + platform</t>
        </is>
      </c>
      <c r="F13" s="13" t="inlineStr">
        <is>
          <t>S1-02, S1-11</t>
        </is>
      </c>
      <c r="G13" s="13" t="inlineStr">
        <is>
          <t>S2-06</t>
        </is>
      </c>
      <c r="H13" s="13" t="inlineStr">
        <is>
          <t>M</t>
        </is>
      </c>
      <c r="I13" s="13" t="inlineStr">
        <is>
          <t>What: Make a registry of the batch use cases in two parts. This follows the YAML
registry in section 15 of the monitoring contract.
Part | Location | Contains | How it changes
Settings | YAML file in the repository | Use-case ID, name, owner, developer, mode (identity_only or records), sample size, task description with version and approver, run schedule, data classification, band overrides | Pull request, approved by backend. RAI also approves changes to the task description or the bands.
API key hashes | Database table | The SHA-256 hash of each API key, the use-case ID, and the key status | The script scripts/batch_keys.py
The API key itself is kept only in the GCP Secret Manager of that project. Never put a
key or a key hash in git, chat or email.
Example entry:
yaml
use_case_id: GCP-UC-03
name: Invoice summary
owner: billing-ai-team
developer: &lt;job developer&gt;
mode: identity_only
sample_size: 50
task_description:
text: "summaries of customer invoices for the billing team"
version: 1
approved_by: &lt;RAI reviewer&gt;
schedule: "daily 02:00 UTC"
data_classification: confidential
band_overrides: {}
How a request is accepted:
1. The monitor finds the hash of the API key in the database.
2. The monitor finds the use case of that key in the YAML file.
3. The use case in the body must be the same as the use case of the key.
Key rotation: The monitor accepts two active keys for one use case. Make the new key,
put it in Secret Manager, wait for one successful run, then remove the old key.
OTLP token: All GCP jobs use one OTLP token (S1-06). The Collector cannot connect a
token to a use case. Spans are not used for grades, so this risk is low.</t>
        </is>
      </c>
      <c r="J13" s="13" t="inlineStr">
        <is>
          <t>• The monitor reads the YAML file when it starts. If the file has an error, the monitor does not start and shows the error.
• A key for use case A with a body for use case B: 403.
• A correct key for a use case that is not in the YAML file: 403.
• A removed key: 401.
• During rotation, both keys work. After the old key is removed, only the new key works.
• Key rotation does not change or remove stored runs.
• scripts/batch_keys.py can make, list and remove keys. It shows a new key one time only and never writes the key to a log.
• Platform puts each new key directly into GCP Secret Manager.</t>
        </is>
      </c>
      <c r="K13" s="13" t="inlineStr">
        <is>
          <t>1. Unit and integration: pytest for each acceptance criterion.
2. Load a YAML file with an error. Make sure that the monitor does not start.
3. Paired with S2-06: each onboarded job sends with its own key and the request is accepted. Change the key of one job to the key of another use case. Make sure that the request is rejected.</t>
        </is>
      </c>
      <c r="L13" s="14" t="inlineStr">
        <is>
          <t>To do</t>
        </is>
      </c>
      <c r="M13" s="14" t="inlineStr"/>
    </row>
    <row r="14">
      <c r="A14" s="15" t="inlineStr">
        <is>
          <t>Sprint 2</t>
        </is>
      </c>
      <c r="B14" s="16" t="inlineStr">
        <is>
          <t>S2-02</t>
        </is>
      </c>
      <c r="C14" s="13" t="inlineStr">
        <is>
          <t>Langfuse SDK v4 in the backend, and package approval</t>
        </is>
      </c>
      <c r="D14" s="13" t="inlineStr">
        <is>
          <t>Decision + Feature</t>
        </is>
      </c>
      <c r="E14" s="13" t="inlineStr">
        <is>
          <t>Backend + project owner</t>
        </is>
      </c>
      <c r="F14" s="13" t="inlineStr">
        <is>
          <t>S1-05</t>
        </is>
      </c>
      <c r="G14" s="13" t="inlineStr">
        <is>
          <t>S2-05</t>
        </is>
      </c>
      <c r="H14" s="13" t="inlineStr">
        <is>
          <t>M</t>
        </is>
      </c>
      <c r="I14" s="13" t="inlineStr">
        <is>
          <t>Decision (2026-10-03): Use the Langfuse Python SDK v4 (langfuse 4.x) in the backend.
The backend uses it for these items:
- The monitor.evaluate span. This span can contain the redacted record text that the API accepted.
- The scores, with create_score.
The GCP jobs do not use the Langfuse SDK. They use the OTel SDK and send their spans to the
Collector (S1-05, S1-06). Thus the Langfuse keys stay in AWS.
Facts that affect this issue
Fact | Effect
SDK v4 does not have the v2 functions trace() and score(). The chatbot store (backend/app/adapters/llm_eval/stores.py) uses these functions. | The class LangfuseCloudStore is prototype-only code. Remove it in the same pull request, and make the chatbot use only its local store. Do not change it to v4.
SDK v4 needs opentelemetry-api, opentelemetry-sdk and opentelemetry-exporter-otlp-proto-http, version 1.45 or later. | S1-05 part B must use the same OTel versions.
Langfuse released three major SDK versions in three years. v2 is deprecated. | Pin langfuse&gt;=4.16,&lt;5. Read the release notes before an upgrade.</t>
        </is>
      </c>
      <c r="J14" s="13" t="inlineStr">
        <is>
          <t>• The spec lists each new or changed package with a version range: langfuse&gt;=4.16,&lt;5, the OTel packages, and the OTel instrumentation packages.
• The self-hosted Langfuse server has a fixed version that supports SDK v4 (S2-03).
• In one backend process, the SDK v4 and the FastAPI OTel instrumentation put monitor.ingest and monitor.evaluate in the same trace as the GCP spans.
• LangfuseCloudStore is removed in the same pull request. judge.py and live_http.py use only the local store for the chatbot. No call to the v2 functions trace() or score() remains.</t>
        </is>
      </c>
      <c r="K14" s="13" t="inlineStr">
        <is>
          <t>1. Compare backend/requirements.txt with the approved list.
2. Run the full backend suite: .venv/bin/python -m pytest -q -m "not slow".
3. In the local stack, send one run with a known traceparent. Make sure that Langfuse shows the GCP spans, monitor.ingest, monitor.evaluate and the scores in one trace.</t>
        </is>
      </c>
      <c r="L14" s="14" t="inlineStr">
        <is>
          <t>To do</t>
        </is>
      </c>
      <c r="M14" s="14" t="inlineStr"/>
    </row>
    <row r="15">
      <c r="A15" s="15" t="inlineStr">
        <is>
          <t>Sprint 2</t>
        </is>
      </c>
      <c r="B15" s="16" t="inlineStr">
        <is>
          <t>S2-03</t>
        </is>
      </c>
      <c r="C15" s="13" t="inlineStr">
        <is>
          <t>Collector exports to self-hosted Langfuse</t>
        </is>
      </c>
      <c r="D15" s="13" t="inlineStr">
        <is>
          <t>Infrastructure</t>
        </is>
      </c>
      <c r="E15" s="13" t="inlineStr">
        <is>
          <t>Platform</t>
        </is>
      </c>
      <c r="F15" s="13" t="inlineStr">
        <is>
          <t>S1-06, S1-11, Sprint 2 prerequisites</t>
        </is>
      </c>
      <c r="G15" s="13" t="inlineStr">
        <is>
          <t>S2-04, S2-05</t>
        </is>
      </c>
      <c r="H15" s="13" t="inlineStr">
        <is>
          <t>L</t>
        </is>
      </c>
      <c r="I15" s="13" t="inlineStr">
        <is>
          <t>What: Add self-hosted Langfuse to Docker Compose: Langfuse web, Langfuse worker,
PostgreSQL, ClickHouse, Redis and S3 storage (MinIO). Use the versions in the
fixed-versions table. Add an otlphttp exporter to the Collector. This exporter sends the
GCP spans to the Langfuse OTLP endpoint (/api/public/otel) with the Langfuse project keys.
Prerequisites (answer after S1-04 is complete)
Question | Owner
Is the test host large enough for Langfuse (CPU, memory, disk)? Examine the Langfuse self-hosting requirements. | Platform
How do the engineers open the Langfuse UI? The front door allows only the GCP IP now. Options: add the office or VPN IP, or use an SSH tunnel. | Network team
Rules
- Langfuse uses its own PostgreSQL container and account. It does not share the monitor database (S1-11).
- Turn off public sign-up in Langfuse. Make one account for each engineer. Langfuse is for engineers. The RAI team uses the dashboard.
- The Collector exporter sends the header x-langfuse-ingestion-version: 4. Without this header, new data can appear in Langfuse up to 10 minutes late.
- Set the retention period in Langfuse from S1-08.
- Keep the Langfuse keys as host secrets. Do not put them in files in git.
- When this issue works, delete the Sprint 1 file output on the test host (S1-06).
Change to S1-07: The trace check tool reads Langfuse through the Observations API v2.
Most other Langfuse read APIs can be up to 10 minutes behind, so the tool would show
"missing" for a correct trace.</t>
        </is>
      </c>
      <c r="J15" s="13" t="inlineStr">
        <is>
          <t>• docker compose up starts all Langfuse containers with the fixed versions and health checks.
• Langfuse data stays after docker compose restart.
• Spans that the Collector receives appear as traces in Langfuse within one minute.
• Public sign-up is off. A person without an account cannot open a project.
• No Langfuse key is in the repository.
• scripts/check_trace.py shows the Langfuse trace and its scores through the Observations API v2.</t>
        </is>
      </c>
      <c r="K15" s="13" t="inlineStr">
        <is>
          <t>1. Send test spans with telemetrygen. Make sure that they appear in Langfuse within one minute.
2. Run docker compose restart. Make sure that the same trace is still in Langfuse.
3. Open the Langfuse sign-up page without an account. Make sure that sign-up is refused.
4. Paired with S2-04 and S2-05: see the test steps in those issues.</t>
        </is>
      </c>
      <c r="L15" s="14" t="inlineStr">
        <is>
          <t>To do</t>
        </is>
      </c>
      <c r="M15" s="14" t="inlineStr"/>
    </row>
    <row r="16">
      <c r="A16" s="15" t="inlineStr">
        <is>
          <t>Sprint 2</t>
        </is>
      </c>
      <c r="B16" s="16" t="inlineStr">
        <is>
          <t>S2-04</t>
        </is>
      </c>
      <c r="C16" s="13" t="inlineStr">
        <is>
          <t>OTel helper file for the GCP jobs</t>
        </is>
      </c>
      <c r="D16" s="13" t="inlineStr">
        <is>
          <t>Feature</t>
        </is>
      </c>
      <c r="E16" s="13" t="inlineStr">
        <is>
          <t>GCP job developer; backend reviews</t>
        </is>
      </c>
      <c r="F16" s="13" t="inlineStr">
        <is>
          <t>S1-05</t>
        </is>
      </c>
      <c r="G16" s="13" t="inlineStr">
        <is>
          <t>S2-03</t>
        </is>
      </c>
      <c r="H16" s="13" t="inlineStr">
        <is>
          <t>M</t>
        </is>
      </c>
      <c r="I16" s="13" t="inlineStr">
        <is>
          <t>What: Move the OTel code from S1-05 part A into one reusable Python file,
otel_helper.py. Add the token data and the attribute allowlist. Use the file in the first
job. The other jobs get the file in S2-06, S3-01 and S4-03. Each job repository copies the
file, because we have no package registry.
Function | Detail
Run trace | The root span batch.run and the step spans, as in S1-05
Token totals, Batch API jobs | Attributes on the batch.harvest span: model, input tokens, output tokens
Token data, online jobs | One span for each sampled request only, with model, tokens and the real call time. The totals go on batch.run. Select the sample before the calls start, so the same requests get spans and become records.
Attribute names | The OTel GenAI names: gen_ai.request.model, gen_ai.usage.input_tokens, gen_ai.usage.output_tokens
Attribute allowlist | Only the allowed keys go into a span. The helper drops other keys and logs only the key name. GCP spans contain no text.
Export | OTLP/HTTP to the front door (/otlp/*) with the OTLP token. If the export fails, the job continues.</t>
        </is>
      </c>
      <c r="J16" s="13" t="inlineStr">
        <is>
          <t>• One trace for each run, with the step spans from S1-05.
• Batch API jobs: the token totals are on batch.harvest.
• Online jobs: spans exist only for the sampled requests; the totals are on batch.run.
• An attribute that is not on the allowlist (for example prompt) is dropped. The log shows only its key name.
• No span attribute contains record text.
• If the Collector is not available, the job ends normally and writes a log entry.
• The first job uses the file. The file has a version number at the top.</t>
        </is>
      </c>
      <c r="K16" s="13" t="inlineStr">
        <is>
          <t>1. Unit (GCP repository): use an in-memory span exporter. Make sure that the span names, the parent links and the GenAI attributes are correct. Make sure that a forbidden attribute is dropped. Stop the exporter and make sure that the job ends normally.
2. Paired with S2-03, local: run the first job with a recorded Gemini response. Send the spans to the local Collector and the run summary to the local backend.
3. Paired with S2-03, test host: run the first job in the GCP dev project.
4. For tests 2 and 3: run scripts/check_trace.py. Make sure that Langfuse shows the GCP spans with the token attributes in the same trace as monitor.ingest.</t>
        </is>
      </c>
      <c r="L16" s="14" t="inlineStr">
        <is>
          <t>To do</t>
        </is>
      </c>
      <c r="M16" s="14" t="inlineStr"/>
    </row>
    <row r="17">
      <c r="A17" s="15" t="inlineStr">
        <is>
          <t>Sprint 2</t>
        </is>
      </c>
      <c r="B17" s="16" t="inlineStr">
        <is>
          <t>S2-05</t>
        </is>
      </c>
      <c r="C17" s="13" t="inlineStr">
        <is>
          <t>Batch evaluator with the five LLM metrics</t>
        </is>
      </c>
      <c r="D17" s="13" t="inlineStr">
        <is>
          <t>Feature</t>
        </is>
      </c>
      <c r="E17" s="13" t="inlineStr">
        <is>
          <t>Backend + RAI</t>
        </is>
      </c>
      <c r="F17" s="13" t="inlineStr">
        <is>
          <t>S2-01, S2-02, S2-03, task description (Wed 14 October)</t>
        </is>
      </c>
      <c r="G17" s="13" t="inlineStr">
        <is>
          <t>S2-03</t>
        </is>
      </c>
      <c r="H17" s="13" t="inlineStr">
        <is>
          <t>L</t>
        </is>
      </c>
      <c r="I17" s="13" t="inlineStr">
        <is>
          <t>What: Grade each stored run with the LLM lane of the prototype. Map the records to the
v1.1 Trace shape. Use the Claude judge and the aggregation in
backend/app/adapters/llm_eval/live_http.py. Grade with backend/app/engines/health.py.
The five metrics, the bands and the grading rules do not change.
Three changes from the standard:
1. The judge prompt uses the task description of the use case from the YAML registry (S2-01).
2. A placeholder ([PHONE], [EMAIL], [NATIONAL_ID]) in the answer counts as PII exposure.
3. The judge examines all the records of the run, up to the sample size in the registry.
When the evaluation runs
The background worker that has the lease (backend/app/live_poller.py) finds the stored
runs that have no evaluation and evaluates them. The POST /api/batch/runs request does
not wait for the judge. It returns immediately.
Where the results go
Result | Our database | Langfuse
The five run metrics and the grade | Table batch_evaluations | Scores on the trace of the run
The four judge results of each record | Table batch_record_judgments | Scores on the observation of that record
The redacted text of each judged record | Already in the stored run (S1-02) | Input and output of the record observation, under monitor.evaluate
- The stored run never changes. The evaluation is a separate row.
- If the task description changes, add a new evaluation row with the new version. Keep the old row.
- The dashboard and the grade use our database. Langfuse is for engineers.
Langfuse (SDK v4, S2-02)
Trace of the run (same trace ID as the GCP spans)
Scores: the five run metrics
└─ monitor.evaluate
├─ record &lt;record_id&gt;   Scores: groundedness, relevance, hallucination, pii
└─ … one observation for each judged record
- Use a stable score_id: from the run ID and the metric name for a run score, and from the run ID, the record ID and the metric name for a record score. If a score is sent again, Langfuse does not make a duplicate.
- If a write to Langfuse fails, record it and try again in the next worker cycle. A Langfuse failure does not change the grade.
Judge provider
Provider | When | Rule
Claude, claude-haiku-4-5 (now) | The test host can reach the Anthropic API | ANTHROPIC_API_KEY is a host secret
Local model on the on-premises server | The test host cannot reach the Anthropic API | RAI compares its scores with the Claude scores on a sample before use. Thai text needs special care.
Each score records the judge identity. The offline heuristic judge is never used in
strict live mode.
When a metric is "Unknown"
Condition | Reason
Identity-only run (records: []) | records_not_approved
Fewer than 8 records | insufficient_sample
The judge fails 3 times. After each failure, the worker tries again in the next cycle. | judge_failed
No task description is approved | task_description_missing
All latency_s values are null | latency_not_reported (only p95_latency_s; excluded from the rollup)
An "Unknown" is never shown as Green. An evaluation problem is never shown as a delivery
problem, and a delivery problem is never shown as an evaluation problem.</t>
        </is>
      </c>
      <c r="J17" s="13" t="inlineStr">
        <is>
          <t>• The five metrics, the bands and the grading are the same as in the chatbot lane.
• The worker evaluates each new run one time. The POST request does not wait for it.
• batch_evaluations stores the metrics with the task description version, the judge identity, the sample size and the run ID.
• batch_record_judgments stores the four results of each judged record.
• Each condition in the "Unknown" table gives "Unknown" with its reason.
• If the judge fails, the worker tries again in the next cycles, up to 3 times. A later success gives normal scores.
• Langfuse shows the run scores on the trace and the record scores on each record observation.
• A score that is sent two times makes one score in Langfuse.
• If Langfuse is not available, the grade is stored, and the score write is tried again later.
• The chatbot (AICT-L02) tests pass.</t>
        </is>
      </c>
      <c r="K17" s="13" t="inlineStr">
        <is>
          <t>1. Unit: use a fake judge. Make sure that each "Unknown" condition gives its reason. Make sure that the band limits are correct, for example a hallucination rate of exactly 0.02 is Red. Make sure that a placeholder counts as PII only in answer.
2. Unit: use a fake Langfuse client. Make sure that the score_id values are stable, and that a failed write is tried again.
3. Unit: make the fake judge fail two times and then succeed. Make sure that the run gets normal scores. Make it fail three times, and make sure that the metrics are "Unknown" with judge_failed.
4. Full backend suite: .venv/bin/python -m pytest -q -m "not slow".
5. Paired with S2-03: store one run in the local stack and let the worker evaluate it. Run scripts/check_trace.py. Make sure that monitor.evaluate, the run scores and the record scores are "found" on the same trace.
Risk: The task description is due Wednesday 14 October. Then only two days remain in
Sprint 2 for the first graded run.</t>
        </is>
      </c>
      <c r="L17" s="14" t="inlineStr">
        <is>
          <t>To do</t>
        </is>
      </c>
      <c r="M17" s="14" t="inlineStr"/>
    </row>
    <row r="18">
      <c r="A18" s="15" t="inlineStr">
        <is>
          <t>Sprint 2</t>
        </is>
      </c>
      <c r="B18" s="16" t="inlineStr">
        <is>
          <t>S2-06</t>
        </is>
      </c>
      <c r="C18" s="13" t="inlineStr">
        <is>
          <t>Onboard 4 use cases</t>
        </is>
      </c>
      <c r="D18" s="13" t="inlineStr">
        <is>
          <t>Feature</t>
        </is>
      </c>
      <c r="E18" s="13" t="inlineStr">
        <is>
          <t>Job developers + backend + platform</t>
        </is>
      </c>
      <c r="F18" s="13" t="inlineStr">
        <is>
          <t>S1-09, S2-01, S2-04</t>
        </is>
      </c>
      <c r="G18" s="13" t="inlineStr">
        <is>
          <t>S2-01, S1-07</t>
        </is>
      </c>
      <c r="H18" s="13" t="inlineStr">
        <is>
          <t>L</t>
        </is>
      </c>
      <c r="I18" s="13" t="inlineStr">
        <is>
          <t>What: Add the send step (S1-03) and the OTel helper file (S2-04) to 4 different jobs.
Include one job with a different output shape. Use the order and the developers in the
S1-09 table.
For each job, do these steps:
1. Add the use case to the YAML registry (S2-01) in a pull request. Set mode: identity_only.
2. Platform makes the API key with scripts/batch_keys.py and puts it into the GCP Secret Manager of that project.
3. Platform adds the egress IP of the GCP project to the allowlist.
4. The job developer maps the job to the record fields of the standard, as in S1-01.
5. The job developer adds the send step and the helper file. The job uses the shared OTLP token. It needs no Langfuse key.
6. Run the job. If the job does not run between 12 and 16 October, use a controlled rerun.
7. After S1-08 approves the records, change mode to records and set SEND_RECORDS to on.</t>
        </is>
      </c>
      <c r="J18" s="13" t="inlineStr">
        <is>
          <t>• 4 real runs arrive. The owner of each use case confirms that the run is real.
• Each use case has its own API key and one trace for each run.
• Each use case has an approved task description and its five metrics graded, or "Unknown" with a reason.
• Test files or configuration entries do not count as a live use case.</t>
        </is>
      </c>
      <c r="K18" s="13" t="inlineStr">
        <is>
          <t>1. For each job: run scripts/check_trace.py &lt;trace_id&gt;. Make sure that all the items are "found".
2. For each job: examine one stored run. Make sure that the records agree with the schema and contain placeholders, not raw PII.
3. Record the 4 trace IDs and their five metric values in this issue.</t>
        </is>
      </c>
      <c r="L18" s="14" t="inlineStr">
        <is>
          <t>To do</t>
        </is>
      </c>
      <c r="M18" s="14" t="inlineStr"/>
    </row>
    <row r="19">
      <c r="A19" s="15" t="inlineStr">
        <is>
          <t>Sprint 2</t>
        </is>
      </c>
      <c r="B19" s="16" t="inlineStr">
        <is>
          <t>S2-07</t>
        </is>
      </c>
      <c r="C19" s="13" t="inlineStr">
        <is>
          <t>Dashboard shows the GCP use cases with the current UI</t>
        </is>
      </c>
      <c r="D19" s="13" t="inlineStr">
        <is>
          <t>Feature</t>
        </is>
      </c>
      <c r="E19" s="13" t="inlineStr">
        <is>
          <t>Backend</t>
        </is>
      </c>
      <c r="F19" s="13" t="inlineStr">
        <is>
          <t>S2-01, S2-05</t>
        </is>
      </c>
      <c r="G19" s="13" t="inlineStr">
        <is>
          <t>S2-06</t>
        </is>
      </c>
      <c r="H19" s="13" t="inlineStr">
        <is>
          <t>M</t>
        </is>
      </c>
      <c r="I19" s="13" t="inlineStr">
        <is>
          <t>Decision (2026-10-03): The dashboard shows only the GCP batch use cases. The UI does not
change. The dashboard shows no record text.
What: The frontend reads only two endpoints: GET /api/live/portfolio and
GET /api/live/use-case/{id}. It does not contain fixed use-case IDs. Thus the backend
returns the GCP use cases through these two endpoints, in the same shape that the LLM lane
of the chatbot uses now. The frontend code does not change.
UI field | Source for a GCP use case
Name and owner | YAML registry (S2-01)
Five LLM signals, lanes and grade | batch_evaluations (S2-05)
Freshness | completed_at of the latest run
judge | The judge identity
judge_sample | Always empty. No record text goes to the browser.
Errors and "Unknown" reasons | The reasons from S2-05
- On the test host and on AWS, the three prototype use cases are not configured. LIVE_CHURN_URL, LIVE_CHATBOT_URL and LIVE_NBA_URL are not set. Thus they do not appear on the dashboard.
- The dashboard is for the RAI team. It has no Langfuse link, because Langfuse is for engineers. The API returns trace_id, so an engineer can find the trace in Langfuse.
- The dashboard uses port 8443 (Sprint 2 prerequisites).</t>
        </is>
      </c>
      <c r="J19" s="13" t="inlineStr">
        <is>
          <t>• On the test host, the portfolio shows only the GCP use cases.
• Each use case shows the latest run, the freshness, the five signals, the grade and the "Unknown" reasons in the current cards.
• No API response for a GCP use case contains question, answer or source text.
• The frontend files do not change (artifacts/control-tower/src).
• The API response contains trace_id.
• pnpm run typecheck, pnpm run build:live and pnpm run check:strict-live pass.</t>
        </is>
      </c>
      <c r="K19" s="13" t="inlineStr">
        <is>
          <t>1. API tests for each state: scored, each "Unknown" reason, stale, identity-only.
2. Search all API responses for the text in the S1-01 examples. Make sure that the text is not found.
3. Run the pnpm checks. build:live and check:strict-live run in CI on Linux.
4. Paired with S2-06: open the dashboard on port 8443. Make sure that the onboarded use cases show the correct freshness and grades.</t>
        </is>
      </c>
      <c r="L19" s="14" t="inlineStr">
        <is>
          <t>To do</t>
        </is>
      </c>
      <c r="M19" s="14" t="inlineStr"/>
    </row>
    <row r="20">
      <c r="A20" s="15" t="inlineStr">
        <is>
          <t>Sprint 2</t>
        </is>
      </c>
      <c r="B20" s="16" t="inlineStr">
        <is>
          <t>S2-08</t>
        </is>
      </c>
      <c r="C20" s="13" t="inlineStr">
        <is>
          <t>One run as a single trace, GCP job to score</t>
        </is>
      </c>
      <c r="D20" s="13" t="inlineStr">
        <is>
          <t>Verification</t>
        </is>
      </c>
      <c r="E20" s="13" t="inlineStr">
        <is>
          <t>Backend + platform</t>
        </is>
      </c>
      <c r="F20" s="13" t="inlineStr">
        <is>
          <t>S2-03, S2-04, S2-05, S2-07</t>
        </is>
      </c>
      <c r="G20" s="13" t="inlineStr">
        <is>
          <t>S1-07</t>
        </is>
      </c>
      <c r="H20" s="13" t="inlineStr">
        <is>
          <t>S</t>
        </is>
      </c>
      <c r="I20" s="13" t="inlineStr">
        <is>
          <t>What: This is the Sprint 2 demo. Show one real run as one trace in Langfuse, from the
GCP job to the scores. Show the same run with its grade on the dashboard.</t>
        </is>
      </c>
      <c r="J20" s="13" t="inlineStr">
        <is>
          <t>• Langfuse shows one trace with the GCP spans, monitor.ingest, monitor.evaluate, the run scores and the record scores.
• The dashboard shows the same run with its grade. An engineer finds its trace in Langfuse with the trace_id from the API.
• If the run is in identity-only mode, the demo shows the trace and the "Unknown" reason records_not_approved, without scores. The result says "records not yet approved".
• If the task description is not approved, the judged metrics show "Unknown" with the reason task_description_missing. The result records this.</t>
        </is>
      </c>
      <c r="K20" s="13" t="inlineStr">
        <is>
          <t>1. Run scripts/check_trace.py &lt;trace_id&gt;. The tool reads Langfuse through the Observations API v2. Make sure that all the items are "found".
2. Attach the output of the tool and a screenshot of the dashboard row. Do not attach record text or secrets.
---</t>
        </is>
      </c>
      <c r="L20" s="14" t="inlineStr">
        <is>
          <t>To do</t>
        </is>
      </c>
      <c r="M20" s="14" t="inlineStr"/>
    </row>
    <row r="21">
      <c r="A21" s="17" t="inlineStr">
        <is>
          <t>Sprint 3</t>
        </is>
      </c>
      <c r="B21" s="18" t="inlineStr">
        <is>
          <t>S3-01</t>
        </is>
      </c>
      <c r="C21" s="13" t="inlineStr">
        <is>
          <t>Onboard 8 use cases, including split submit and harvest</t>
        </is>
      </c>
      <c r="D21" s="13" t="inlineStr">
        <is>
          <t>Feature</t>
        </is>
      </c>
      <c r="E21" s="13" t="inlineStr">
        <is>
          <t>Job developers + backend + platform</t>
        </is>
      </c>
      <c r="F21" s="13" t="inlineStr">
        <is>
          <t>S2-04, S2-06</t>
        </is>
      </c>
      <c r="G21" s="13" t="inlineStr">
        <is>
          <t>S1-07</t>
        </is>
      </c>
      <c r="H21" s="13" t="inlineStr">
        <is>
          <t>L</t>
        </is>
      </c>
      <c r="I21" s="13" t="inlineStr">
        <is>
          <t>What: Onboard 4 more use cases, to a total of 8. Use the seven steps in S2-06 for each
job. Include the difficult jobs from the S1-09 table.
Jobs with separate submit and harvest. In some jobs, one run of the code submits the
Gemini batch job, and a later run of the code harvests the results. To make one trace for
the two runs:
1. Add a function to the helper file (S2-04) that continues a trace from a stored traceparent. Increase the version number of the file.
2. The submit run stores its traceparent in the same location as the Gemini batch job ID.
3. The harvest run reads the traceparent and continues the same trace.
Partial publication. If only part of the results are published, the job sends
status: partial with the counts. The job does not send completed before all the results
are published.</t>
        </is>
      </c>
      <c r="J21" s="13" t="inlineStr">
        <is>
          <t>• 8 real runs in total. The owner of each use case confirms that the run is real.
• A job that only submitted sends nothing.
• For a job with separate submit and harvest, Langfuse shows the submit spans and the harvest spans under the same root span.
• A partial publication arrives with status: partial.
• Each use case has an approved task description and its five metrics graded, or "Unknown" with a reason.</t>
        </is>
      </c>
      <c r="K21" s="13" t="inlineStr">
        <is>
          <t>1. For each new job: run scripts/check_trace.py &lt;trace_id&gt;. Make sure that all the items are "found". Record the trace IDs in this issue.
2. For a job with separate submit and harvest: run the submit, then the harvest. Make sure that one trace contains both.
3. Unit (GCP repository): store a traceparent, continue the trace in a new process, and make sure that the trace ID is the same.</t>
        </is>
      </c>
      <c r="L21" s="14" t="inlineStr">
        <is>
          <t>To do</t>
        </is>
      </c>
      <c r="M21" s="14" t="inlineStr"/>
    </row>
    <row r="22">
      <c r="A22" s="17" t="inlineStr">
        <is>
          <t>Sprint 3</t>
        </is>
      </c>
      <c r="B22" s="18" t="inlineStr">
        <is>
          <t>S3-02</t>
        </is>
      </c>
      <c r="C22" s="13" t="inlineStr">
        <is>
          <t>Delivery lane: missed-run and failed-job alerts</t>
        </is>
      </c>
      <c r="D22" s="13" t="inlineStr">
        <is>
          <t>Feature</t>
        </is>
      </c>
      <c r="E22" s="13" t="inlineStr">
        <is>
          <t>Backend</t>
        </is>
      </c>
      <c r="F22" s="13" t="inlineStr">
        <is>
          <t>S2-01, S1-02</t>
        </is>
      </c>
      <c r="G22" s="13" t="inlineStr">
        <is>
          <t>S3-04</t>
        </is>
      </c>
      <c r="H22" s="13" t="inlineStr">
        <is>
          <t>M</t>
        </is>
      </c>
      <c r="I22" s="13" t="inlineStr">
        <is>
          <t>What: Add a "delivery" lane for each GCP use case. Use the existing alert code: the
transition engine (backend/app/engines/alerts.py), the table live_alerts, the webhook
(backend/app/alert_delivery.py) and the endpoint /api/live/alerts. The current UI
already shows alerts, so the UI does not change.
Delivery health | Condition | Reason
Green | The last run arrived on time | —
Amber | The last run has status: partial | partial_publication
Red | No run arrived before the end of the grace period | run_missing
Red | The last run has status: failed | job_failed
Unknown | No run has arrived yet, or the use case has no schedule | no_run_yet or no_schedule
The existing engine opens an alert on Red and on Green to Amber, resolves it on Green, and
keeps one open alert only. Unknown never opens an alert. The delivery lane is not part
of the overall quality grade, so a missed run never changes the quality grade.
Steps
1. Add the schedule to each use case in the YAML registry (S2-01): schedule.expected_every (for example 24h) and schedule.grace (for example 2h). Use an interval, not a cron expression, so that no new package is necessary. For a monthly job, use 31d.
2. Write the pure function delivery_health(last_run, every, grace, now) in the new file backend/app/engines/delivery.py. It returns the health and the reason. It does no I/O. The caller gives the time now.
3. Add evaluate_delivery(uc, now) to backend/app/alerting.py. It reads the latest run from batch_runs, calls delivery_health, and calls the existing transitions() with the key "delivery" only.
4. In backend/app/live_poller.py, call evaluate_delivery for each GCP use case in each cycle, inside the lease. The existing alert_delivery.deliver_pending() sends the webhook.
File | Change
YAML registry | Add schedule.expected_every and schedule.grace
backend/app/engines/delivery.py | New pure function
backend/app/alerting.py | New function evaluate_delivery
backend/app/live_poller.py | Call evaluate_delivery in each cycle
Frontend | No change</t>
        </is>
      </c>
      <c r="J22" s="13" t="inlineStr">
        <is>
          <t>• Each condition in the table gives the correct health and reason.
• A missing run opens one alert only, also after many cycles.
• A new run that arrives on time resolves the alert.
• The overall quality grade does not change because of the delivery lane.
• The webhook receives the open and the resolve messages.
• The current UI shows the delivery alert. If it does not show the lane name "delivery", map the alert to a name that the UI shows.
• No new package and no new table.</t>
        </is>
      </c>
      <c r="K22" s="13" t="inlineStr">
        <is>
          <t>1. Unit tests for delivery_health with a fixed clock (every 24h, grace 2h):
| Test | Expected result |
|---|---|
| No run yet | Unknown, no_run_yet |
| Last run 20 hours ago | Green |
| Last run 25 hours ago (inside the grace period) | Green |
| Last run 27 hours ago (after the grace period) | Red, run_missing |
| Last run has status: failed | Red, job_failed |
| Last run has status: partial | Amber, partial_publication |
2. Integration test with SQLite, a fixed clock and a fake webhook: store a run, move the clock 27 hours, run one cycle, and make sure that one alert opens. Run another cycle, and make sure that no second alert opens. Store a new run, run a cycle, and make sure that the alert resolves and the quality grade did not change.
3. Paired with S3-04: on the test host, stop the send step of one job. After the grace period, make sure that the alert shows in the UI and in the webhook. Start the send step again, and make sure that the alert resolves.</t>
        </is>
      </c>
      <c r="L22" s="14" t="inlineStr">
        <is>
          <t>To do</t>
        </is>
      </c>
      <c r="M22" s="14" t="inlineStr"/>
    </row>
    <row r="23">
      <c r="A23" s="17" t="inlineStr">
        <is>
          <t>Sprint 3</t>
        </is>
      </c>
      <c r="B23" s="18" t="inlineStr">
        <is>
          <t>S3-03</t>
        </is>
      </c>
      <c r="C23" s="13" t="inlineStr">
        <is>
          <t>Collector hardening: attribute filter, memory limit, disk queue</t>
        </is>
      </c>
      <c r="D23" s="13" t="inlineStr">
        <is>
          <t>Infrastructure</t>
        </is>
      </c>
      <c r="E23" s="13" t="inlineStr">
        <is>
          <t>Platform</t>
        </is>
      </c>
      <c r="F23" s="13" t="inlineStr">
        <is>
          <t>S1-06, S2-03</t>
        </is>
      </c>
      <c r="G23" s="13" t="inlineStr">
        <is>
          <t>S3-04, S3-05</t>
        </is>
      </c>
      <c r="H23" s="13" t="inlineStr">
        <is>
          <t>M</t>
        </is>
      </c>
      <c r="I23" s="13" t="inlineStr">
        <is>
          <t>What: Make the Collector safe and reliable before AWS. S1-06 already added the token,
HTTPS through the front door and the IP allowlist. This issue does not repeat them.
Addition | Why
Attribute filter in the Collector | The helper file removes attributes in the GCP job (S2-04). The Collector filter is a second protection, for example for a job that uses an old helper file. Use the same allowlist.
Memory limit | A large burst of spans cannot stop the Collector
Disk queue for the Langfuse exporter | If Langfuse is down, or the Collector restarts, the spans wait on disk and are not lost
The API keeps the API key in October. We do not change to a Google identity token, unless
security requires it in S1-08.</t>
        </is>
      </c>
      <c r="J23" s="13" t="inlineStr">
        <is>
          <t>• A span with an attribute that is not on the allowlist arrives in Langfuse without that attribute.
• A burst of spans above the memory limit does not stop the Collector. The Collector refuses the extra spans, and the senders try again.
• Spans that arrive while Langfuse is down are in Langfuse after recovery, one time only.
• Spans in the disk queue stay after a Collector restart.</t>
        </is>
      </c>
      <c r="K23" s="13" t="inlineStr">
        <is>
          <t>1. Send a span with a forbidden attribute (for example prompt). Make sure that Langfuse does not show it.
2. Send a large burst with telemetrygen. Make sure that the Collector continues to run.
3. Stop Langfuse. Send spans. Restart the Collector. Start Langfuse. Make sure that all the spans arrive one time.</t>
        </is>
      </c>
      <c r="L23" s="14" t="inlineStr">
        <is>
          <t>To do</t>
        </is>
      </c>
      <c r="M23" s="14" t="inlineStr"/>
    </row>
    <row r="24">
      <c r="A24" s="17" t="inlineStr">
        <is>
          <t>Sprint 3</t>
        </is>
      </c>
      <c r="B24" s="18" t="inlineStr">
        <is>
          <t>S3-04</t>
        </is>
      </c>
      <c r="C24" s="13" t="inlineStr">
        <is>
          <t>Failure and recovery drills</t>
        </is>
      </c>
      <c r="D24" s="13" t="inlineStr">
        <is>
          <t>Verification</t>
        </is>
      </c>
      <c r="E24" s="13" t="inlineStr">
        <is>
          <t>Backend + platform</t>
        </is>
      </c>
      <c r="F24" s="13" t="inlineStr">
        <is>
          <t>S2-05, S3-02, S3-03</t>
        </is>
      </c>
      <c r="G24" s="13" t="inlineStr">
        <is>
          <t>S1-07</t>
        </is>
      </c>
      <c r="H24" s="13" t="inlineStr">
        <is>
          <t>M</t>
        </is>
      </c>
      <c r="I24" s="13" t="inlineStr">
        <is>
          <t>What: Stop each part of the system on purpose. Make sure that no data is lost and
nothing is duplicated. Do the drills on the test host.
Drill | Expected result
The monitor is down while a job sends | The job tries again and logs each failure. After recovery, the run is stored one time.
The Collector is down | The run summary is still stored. The spans arrive later from the disk queue (S3-03).
Langfuse is down | The spans wait in the Collector. The backend tries the scores again. After recovery, each score is in Langfuse one time.
The judge is down (Anthropic or the local model) | The worker tries again in the next cycles, up to 3 times (S2-05). If the judge comes back, the run gets normal scores. If not, the metrics are "Unknown" with judge_failed.
The monitor restarts during an ingest | No half-written run. The job sends again, and the run is stored one time.
A job does not send | The delivery alert opens (S3-02). It resolves when the next run arrives.
The monitor database restarts | No stored run is lost</t>
        </is>
      </c>
      <c r="J24" s="13" t="inlineStr">
        <is>
          <t>• Each drill in the table has a result: pass, fail or not done, with the date.
• Each failed drill has an issue for the fix, with an owner.</t>
        </is>
      </c>
      <c r="K24" s="13" t="inlineStr">
        <is>
          <t>1. Do each drill. After each drill, run scripts/check_trace.py for the affected trace IDs.
2. Record the results in this issue.</t>
        </is>
      </c>
      <c r="L24" s="14" t="inlineStr">
        <is>
          <t>To do</t>
        </is>
      </c>
      <c r="M24" s="14" t="inlineStr"/>
    </row>
    <row r="25">
      <c r="A25" s="17" t="inlineStr">
        <is>
          <t>Sprint 3</t>
        </is>
      </c>
      <c r="B25" s="18" t="inlineStr">
        <is>
          <t>S3-05</t>
        </is>
      </c>
      <c r="C25" s="13" t="inlineStr">
        <is>
          <t>Security and retention review with leak scan</t>
        </is>
      </c>
      <c r="D25" s="13" t="inlineStr">
        <is>
          <t>Verification</t>
        </is>
      </c>
      <c r="E25" s="13" t="inlineStr">
        <is>
          <t>Security + platform + source owners</t>
        </is>
      </c>
      <c r="F25" s="13" t="inlineStr">
        <is>
          <t>S3-01, S3-03</t>
        </is>
      </c>
      <c r="G25" s="13" t="inlineStr">
        <is>
          <t>S3-03</t>
        </is>
      </c>
      <c r="H25" s="13" t="inlineStr">
        <is>
          <t>M</t>
        </is>
      </c>
      <c r="I25" s="13" t="inlineStr">
        <is>
          <t>What: A script searches the stored data for items that must not be there. Security also
examines the access.
Location | Allowed | Not allowed
batch_runs and batch_record_judgments | Redacted text with placeholders | Raw phone numbers, emails, national IDs
GCP spans in Langfuse | Names, times, counts, IDs | Any text
monitor.evaluate in Langfuse | Redacted record text | Raw PII
Dashboard and API responses | Metrics and reasons | Any record text
Logs | IDs and errors | Keys, tokens, record text
Security also examines these items:
- The database accounts (S1-11).
- The Langfuse accounts. They are for engineers only.
- One key rotation (S2-01).
- A request without a key or a token is refused, on the API and on the Collector.
- The retention periods in the monitor database and in Langfuse (S1-08).</t>
        </is>
      </c>
      <c r="J25" s="13" t="inlineStr">
        <is>
          <t>• The leak scan finds nothing in the "Not allowed" column.
• Each access item in the list passes.
• Each exception is written down, with an owner and a date.</t>
        </is>
      </c>
      <c r="K25" s="13" t="inlineStr">
        <is>
          <t>1. Run the leak scan script on a sample of each location. The script searches for phone numbers, email addresses, national ID numbers, token formats and record text in the wrong locations.
2. Send a request without a key to the API, and spans without a token to the Collector. Make sure that both are refused.</t>
        </is>
      </c>
      <c r="L25" s="14" t="inlineStr">
        <is>
          <t>To do</t>
        </is>
      </c>
      <c r="M25" s="14" t="inlineStr"/>
    </row>
    <row r="26">
      <c r="A26" s="17" t="inlineStr">
        <is>
          <t>Sprint 3</t>
        </is>
      </c>
      <c r="B26" s="18" t="inlineStr">
        <is>
          <t>S3-06</t>
        </is>
      </c>
      <c r="C26" s="13" t="inlineStr">
        <is>
          <t>Kubernetes deployment files: Langfuse Helm chart and our manifests</t>
        </is>
      </c>
      <c r="D26" s="13" t="inlineStr">
        <is>
          <t>Infrastructure</t>
        </is>
      </c>
      <c r="E26" s="13" t="inlineStr">
        <is>
          <t>Platform</t>
        </is>
      </c>
      <c r="F26" s="13" t="inlineStr">
        <is>
          <t>S3-03</t>
        </is>
      </c>
      <c r="G26" s="13" t="inlineStr">
        <is>
          <t>S4-01</t>
        </is>
      </c>
      <c r="H26" s="13" t="inlineStr">
        <is>
          <t>L</t>
        </is>
      </c>
      <c r="I26" s="13" t="inlineStr">
        <is>
          <t>What: Prepare the files that install the stack on Kubernetes. Install them on the
test AWS Kubernetes cluster in Sprint 3, so that Sprint 4 repeats a known installation
on the production cluster. Use the versions in the fixed-versions table.
Decisions (2026-10-04)
Part | Plan A (selected) | Plan B (fallback)
PostgreSQL 17 (monitor and Langfuse) | Amazon RDS for PostgreSQL 17 | Container in the cluster, with our backups
S3 storage for Langfuse | Amazon S3 | MinIO container in the cluster
Langfuse, ClickHouse, Redis | Official Langfuse Helm chart | Official Langfuse Helm chart
Monitor backend, Collector, front door | Our own manifests | Our own manifests
Send the RDS and S3 request in Sprint 1 (long-lead requests). If the request is not
approved by Wednesday 21 October, use plan B. Write the deployment files so that a
values file selects plan A or plan B.</t>
        </is>
      </c>
      <c r="J26" s="13" t="inlineStr">
        <is>
          <t>• The answer to the RDS and S3 request (sent in Sprint 1), or plan B, is recorded by 21 October.
• The Langfuse Helm chart uses version 2.1.3 and the Langfuse image tag 4.50.0.
• Our manifests for the monitor backend, the Collector and the front door pass validation (kubeconform, or kubectl apply --dry-run=server).
• Secrets come from the Kubernetes secret store. No secret is in the files.
• Each service has health checks, resource limits and a rollback step.
• Backup, restore and rollback steps are written. For plan A, they use the RDS backups.
• The stack runs on the test AWS Kubernetes cluster, and the smoke test passes.</t>
        </is>
      </c>
      <c r="K26" s="13" t="inlineStr">
        <is>
          <t>1. Validate all the files.
2. Install the stack on the test AWS Kubernetes cluster. Send one example run and spans from a GCP dev machine. Run scripts/check_trace.py, and make sure that all the items are "found".
3. If the test cluster is not available by 19 October, install the stack on a disposable local cluster (for example kind) with plan B, and record that the AWS test was not done.
---</t>
        </is>
      </c>
      <c r="L26" s="14" t="inlineStr">
        <is>
          <t>To do</t>
        </is>
      </c>
      <c r="M26" s="14" t="inlineStr"/>
    </row>
    <row r="27">
      <c r="A27" s="19" t="inlineStr">
        <is>
          <t>Sprint 4</t>
        </is>
      </c>
      <c r="B27" s="20" t="inlineStr">
        <is>
          <t>S4-01</t>
        </is>
      </c>
      <c r="C27" s="13" t="inlineStr">
        <is>
          <t>Deploy the stack to the production AWS cluster</t>
        </is>
      </c>
      <c r="D27" s="13" t="inlineStr">
        <is>
          <t>Infrastructure</t>
        </is>
      </c>
      <c r="E27" s="13" t="inlineStr">
        <is>
          <t>Platform</t>
        </is>
      </c>
      <c r="F27" s="13" t="inlineStr">
        <is>
          <t>S3-06, long-lead requests (Sprint 1)</t>
        </is>
      </c>
      <c r="G27" s="13" t="inlineStr">
        <is>
          <t>S4-02</t>
        </is>
      </c>
      <c r="H27" s="13" t="inlineStr">
        <is>
          <t>L</t>
        </is>
      </c>
      <c r="I27" s="13" t="inlineStr">
        <is>
          <t>What: Install the stack on the production AWS Kubernetes cluster. Use the S3-06 files.
The installation on the test AWS cluster in Sprint 3 is the model for this installation.
1. Select plan A (RDS and S3) or plan B (in the cluster), from the S3-06 decision.
2. Replace the test-host front door with the AWS load balancer and ingress. Keep the same paths: /api/* and /otlp/* for GCP, and the dashboard and Langfuse for the staff.
3. Use the DNS name and the certificate from the long-lead requests. If they are not available, use the IP address and a private CA certificate.
4. Allow the egress IPs of all 10 GCP projects (S1-09) in the AWS security rules.
5. Allow outbound access from the cluster to the Anthropic API, or a network path to the on-premises judge server.
6. Do not configure the prototype use cases.
Open decisions (decide at the start of Sprint 4)
- Is a production cluster available? If not, report the result as a pilot on the test AWS cluster. Do not report a production release.
- Does AWS start clean, or do we move the data from the test host?</t>
        </is>
      </c>
      <c r="J27" s="13" t="inlineStr">
        <is>
          <t>• Only the front door is reachable from the internet. The databases, ClickHouse, Redis and the storage are private.
• The data stays after a pod restart.
• The cluster name, the deployed versions and any missing prerequisite are recorded.</t>
        </is>
      </c>
      <c r="K27" s="13" t="inlineStr">
        <is>
          <t>1. From a GCP dev machine, send one example run and spans. Run scripts/check_trace.py. Make sure that all the items are "found".
2. Delete the monitor pod and the Langfuse pods. After the restart, make sure that the same run and trace are still there.</t>
        </is>
      </c>
      <c r="L27" s="14" t="inlineStr">
        <is>
          <t>To do</t>
        </is>
      </c>
      <c r="M27" s="14" t="inlineStr"/>
    </row>
    <row r="28">
      <c r="A28" s="19" t="inlineStr">
        <is>
          <t>Sprint 4</t>
        </is>
      </c>
      <c r="B28" s="20" t="inlineStr">
        <is>
          <t>S4-02</t>
        </is>
      </c>
      <c r="C28" s="13" t="inlineStr">
        <is>
          <t>Change every GCP job to send to AWS</t>
        </is>
      </c>
      <c r="D28" s="13" t="inlineStr">
        <is>
          <t>Feature</t>
        </is>
      </c>
      <c r="E28" s="13" t="inlineStr">
        <is>
          <t>Job developers + platform</t>
        </is>
      </c>
      <c r="F28" s="13" t="inlineStr">
        <is>
          <t>S4-01</t>
        </is>
      </c>
      <c r="G28" s="13" t="inlineStr">
        <is>
          <t>S4-01</t>
        </is>
      </c>
      <c r="H28" s="13" t="inlineStr">
        <is>
          <t>M</t>
        </is>
      </c>
      <c r="I28" s="13" t="inlineStr">
        <is>
          <t>What: Change one job at a time. For each job, change three things:
1. The API URL.
2. The OTLP endpoint.
3. The API key. Make a new production key with scripts/batch_keys.py, and put it into the GCP Secret Manager of that project.
If AWS uses a private CA, the job trusts the new CA file.
Fallback: Keep the test host running for one week after the change. If AWS has a
problem, a job can go back to the test host with its old settings.</t>
        </is>
      </c>
      <c r="J28" s="13" t="inlineStr">
        <is>
          <t>• The next run of each job arrives in AWS, with its trace in Langfuse.
• After the first production run of a job arrives, its test-host key is removed.
• One week after the last job changes, the test host is stopped. Its data is kept until the end of its retention period.</t>
        </is>
      </c>
      <c r="K28" s="13" t="inlineStr">
        <is>
          <t>1. After the next run of each job, run scripts/check_trace.py &lt;trace_id&gt; on AWS. Make sure that all the items are "found".
2. Send a request with a removed test-host key to AWS. Make sure that it is refused.</t>
        </is>
      </c>
      <c r="L28" s="14" t="inlineStr">
        <is>
          <t>To do</t>
        </is>
      </c>
      <c r="M28" s="14" t="inlineStr"/>
    </row>
    <row r="29">
      <c r="A29" s="19" t="inlineStr">
        <is>
          <t>Sprint 4</t>
        </is>
      </c>
      <c r="B29" s="20" t="inlineStr">
        <is>
          <t>S4-03</t>
        </is>
      </c>
      <c r="C29" s="13" t="inlineStr">
        <is>
          <t>Finish all 10 use cases</t>
        </is>
      </c>
      <c r="D29" s="13" t="inlineStr">
        <is>
          <t>Feature</t>
        </is>
      </c>
      <c r="E29" s="13" t="inlineStr">
        <is>
          <t>Job developers + backend + platform</t>
        </is>
      </c>
      <c r="F29" s="13" t="inlineStr">
        <is>
          <t>S4-02</t>
        </is>
      </c>
      <c r="G29" s="13" t="inlineStr">
        <is>
          <t>S4-04</t>
        </is>
      </c>
      <c r="H29" s="13" t="inlineStr">
        <is>
          <t>L</t>
        </is>
      </c>
      <c r="I29" s="13" t="inlineStr">
        <is>
          <t>What: Onboard the last use cases with the S2-06 steps. Get a real run for each use case,
on its schedule or as an agreed controlled rerun. Use the S1-09 run dates. If a job does not
run before 30 October, book a controlled rerun now.
When a use case passes (decided 2026-10-04)
A use case passes only when its quality grade works. All of these must be true:
- A real run arrived, and the owner confirms it.
- The run contains records (mode: records). Security approved the records (S1-08).
- The task description is approved.
- The four judge metrics have values. p95_latency_s can be "Unknown" only with the reason latency_not_reported (Batch API jobs).
A use case in identity-only mode does not pass. Thus the security approval of the
records is a release blocker.</t>
        </is>
      </c>
      <c r="J29" s="13" t="inlineStr">
        <is>
          <t>• Each of the 10 use cases passes, or is listed as blocked with the reason, an owner and the next step.
• No test data, configuration-only entry or identity-only run counts as a pass.</t>
        </is>
      </c>
      <c r="K29" s="13" t="inlineStr">
        <is>
          <t>1. The S4-04 checklist examines each use case.</t>
        </is>
      </c>
      <c r="L29" s="14" t="inlineStr">
        <is>
          <t>To do</t>
        </is>
      </c>
      <c r="M29" s="14" t="inlineStr"/>
    </row>
    <row r="30">
      <c r="A30" s="19" t="inlineStr">
        <is>
          <t>Sprint 4</t>
        </is>
      </c>
      <c r="B30" s="20" t="inlineStr">
        <is>
          <t>S4-04</t>
        </is>
      </c>
      <c r="C30" s="13" t="inlineStr">
        <is>
          <t>10-row evidence checklist</t>
        </is>
      </c>
      <c r="D30" s="13" t="inlineStr">
        <is>
          <t>Verification</t>
        </is>
      </c>
      <c r="E30" s="13" t="inlineStr">
        <is>
          <t>Backend + RAI</t>
        </is>
      </c>
      <c r="F30" s="13" t="inlineStr">
        <is>
          <t>S4-03</t>
        </is>
      </c>
      <c r="G30" s="13" t="inlineStr">
        <is>
          <t>S1-07 (trace check tool)</t>
        </is>
      </c>
      <c r="H30" s="13" t="inlineStr">
        <is>
          <t>M</t>
        </is>
      </c>
      <c r="I30" s="13" t="inlineStr">
        <is>
          <t>What: Make one table with one row for each use case. Each row contains:
- the use case,
- the run ID,
- the completion time and the freshness,
- the number of judged records,
- the five metric values, or "Unknown" with the reason,
- the overall grade,
- the task description version,
- the trace ID,
- the result of scripts/check_trace.py,
- the confirmation of the owner,
- the result: pass, or blocked with the reason (S4-03).</t>
        </is>
      </c>
      <c r="J30" s="13" t="inlineStr">
        <is>
          <t>• The table has 10 rows. All the columns are filled in.
• The trace ID and the score IDs are the same in the monitor and in Langfuse.
• RAI accepts what the dashboard shows, including each "Unknown".</t>
        </is>
      </c>
      <c r="K30" s="13" t="inlineStr">
        <is>
          <t>1. Run scripts/check_trace.py for all 10 trace IDs. Attach the output.</t>
        </is>
      </c>
      <c r="L30" s="14" t="inlineStr">
        <is>
          <t>To do</t>
        </is>
      </c>
      <c r="M30" s="14" t="inlineStr"/>
    </row>
    <row r="31">
      <c r="A31" s="19" t="inlineStr">
        <is>
          <t>Sprint 4</t>
        </is>
      </c>
      <c r="B31" s="20" t="inlineStr">
        <is>
          <t>S4-05</t>
        </is>
      </c>
      <c r="C31" s="13" t="inlineStr">
        <is>
          <t>Operations drills and runbooks on AWS</t>
        </is>
      </c>
      <c r="D31" s="13" t="inlineStr">
        <is>
          <t>Verification</t>
        </is>
      </c>
      <c r="E31" s="13" t="inlineStr">
        <is>
          <t>Platform + operations</t>
        </is>
      </c>
      <c r="F31" s="13" t="inlineStr">
        <is>
          <t>S4-01</t>
        </is>
      </c>
      <c r="G31" s="13" t="inlineStr">
        <is>
          <t>S1-07 (trace check tool)</t>
        </is>
      </c>
      <c r="H31" s="13" t="inlineStr">
        <is>
          <t>M</t>
        </is>
      </c>
      <c r="I31" s="13" t="inlineStr">
        <is>
          <t>What: Do the S3-04 drills again on AWS. Also test the backup, the restore and the
rollback. Write the runbooks.
Item | How
Backup and restore | Plan A: restore an RDS snapshot. Plan B: restore from our backup. Make sure that no run is lost or duplicated.
Rollback | Install the previous version with the Helm rollback command. Make sure that the system works.
Runbooks | A missed run, a failed job, a GCP network problem, a Langfuse outage, a judge outage, a key rotation, a full disk
Open decision: Who is on call, and who owns the alerts? Decide this during Sprint 4. The
alert webhook goes to this person or team.</t>
        </is>
      </c>
      <c r="J31" s="13" t="inlineStr">
        <is>
          <t>• Each drill has a result: pass, fail or not done, with the date.
• Restore and rollback work with no lost or duplicated runs.
• Each runbook names an owner. The on-call owner is named before the sign-off (S4-06).</t>
        </is>
      </c>
      <c r="K31" s="13" t="inlineStr">
        <is>
          <t>1. Do each drill. After each drill, run scripts/check_trace.py for the affected trace IDs.
2. Record the results in this issue.</t>
        </is>
      </c>
      <c r="L31" s="14" t="inlineStr">
        <is>
          <t>To do</t>
        </is>
      </c>
      <c r="M31" s="14" t="inlineStr"/>
    </row>
    <row r="32">
      <c r="A32" s="19" t="inlineStr">
        <is>
          <t>Sprint 4</t>
        </is>
      </c>
      <c r="B32" s="20" t="inlineStr">
        <is>
          <t>S4-06</t>
        </is>
      </c>
      <c r="C32" s="13" t="inlineStr">
        <is>
          <t>Release sign-off</t>
        </is>
      </c>
      <c r="D32" s="13" t="inlineStr">
        <is>
          <t>Decision</t>
        </is>
      </c>
      <c r="E32" s="13" t="inlineStr">
        <is>
          <t>RAI + platform owners</t>
        </is>
      </c>
      <c r="F32" s="13" t="inlineStr">
        <is>
          <t>S4-04, S4-05</t>
        </is>
      </c>
      <c r="G32" s="13" t="inlineStr">
        <is>
          <t>—</t>
        </is>
      </c>
      <c r="H32" s="13" t="inlineStr">
        <is>
          <t>S</t>
        </is>
      </c>
      <c r="I32" s="13" t="inlineStr">
        <is>
          <t>What: Approve the release only on evidence. List each use case as "pass" or "blocked,
with the reason" (S4-03).</t>
        </is>
      </c>
      <c r="J32" s="13" t="inlineStr">
        <is>
          <t>• The release is approved only if all 10 use cases pass and the AWS drills pass.
• If not, publish the result as a pilot, with each open blocker, its owner and its next step.
• The result says clearly if it is a production release or a pilot on the test AWS cluster.</t>
        </is>
      </c>
      <c r="K32" s="13" t="inlineStr">
        <is>
          <t>1. The reviewers examine the S4-04 checklist and the S4-05 drill record.</t>
        </is>
      </c>
      <c r="L32" s="14" t="inlineStr">
        <is>
          <t>To do</t>
        </is>
      </c>
      <c r="M32" s="14" t="inlineStr"/>
    </row>
    <row r="33">
      <c r="A33" s="19" t="inlineStr">
        <is>
          <t>Sprint 4</t>
        </is>
      </c>
      <c r="B33" s="20" t="inlineStr">
        <is>
          <t>S4-07</t>
        </is>
      </c>
      <c r="C33" s="13" t="inlineStr">
        <is>
          <t>Remove the prototype-only code</t>
        </is>
      </c>
      <c r="D33" s="13" t="inlineStr">
        <is>
          <t>Feature</t>
        </is>
      </c>
      <c r="E33" s="13" t="inlineStr">
        <is>
          <t>Backend</t>
        </is>
      </c>
      <c r="F33" s="13" t="inlineStr">
        <is>
          <t>S4-06</t>
        </is>
      </c>
      <c r="G33" s="13" t="inlineStr">
        <is>
          <t>Full test suite</t>
        </is>
      </c>
      <c r="H33" s="13" t="inlineStr">
        <is>
          <t>M</t>
        </is>
      </c>
      <c r="I33" s="13" t="inlineStr">
        <is>
          <t>What: Remove the code of the three prototype use cases that the GCP path does not use.
Follow the rule for prototype code at the start of this file. Do this after the release
sign-off (S4-06), so that the AWS release does not change at the last moment. If Sprint 4
has no time left, do this issue in the first week of November.</t>
        </is>
      </c>
      <c r="J33" s="13" t="inlineStr">
        <is>
          <t>• A list of the removed files and a list of the kept shared files are in the pull request.
• Each removed item has no use in the GCP path. A repository search shows this.
• The tests of the shared code use GCP-style data, not prototype data.
• Packages that only the removed code used are removed from backend/requirements.txt.
• CLAUDE.md, README.md and the contract documents describe the GCP use cases.</t>
        </is>
      </c>
      <c r="K33" s="13" t="inlineStr">
        <is>
          <t>1. Run the full backend suite and the pnpm checks.
2. On the test host, send one GCP run. Run scripts/check_trace.py. Make sure that all the items are "found".</t>
        </is>
      </c>
      <c r="L33" s="14" t="inlineStr">
        <is>
          <t>To do</t>
        </is>
      </c>
      <c r="M33" s="14" t="inlineStr"/>
    </row>
  </sheetData>
  <autoFilter ref="A1:M33"/>
  <dataValidations count="1">
    <dataValidation sqref="L2:L33" showDropDown="0" showInputMessage="0" showErrorMessage="0" allowBlank="0" error="Select a value from the list" prompt="To do, In progress, Blocked or Done" type="list">
      <formula1>"To do,In progress,Blocked,Done"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60" customWidth="1" min="4" max="4"/>
    <col width="24" customWidth="1" min="5" max="5"/>
  </cols>
  <sheetData>
    <row r="1">
      <c r="A1" s="6" t="inlineStr">
        <is>
          <t>Sprint</t>
        </is>
      </c>
      <c r="B1" s="6" t="inlineStr">
        <is>
          <t>Feature</t>
        </is>
      </c>
      <c r="C1" s="6" t="inlineStr">
        <is>
          <t>Tested with</t>
        </is>
      </c>
      <c r="D1" s="6" t="inlineStr">
        <is>
          <t>The test proves</t>
        </is>
      </c>
      <c r="E1" s="6" t="inlineStr">
        <is>
          <t>Environment</t>
        </is>
      </c>
    </row>
    <row r="2">
      <c r="A2" s="13" t="inlineStr">
        <is>
          <t>Sprint 1</t>
        </is>
      </c>
      <c r="B2" s="13" t="inlineStr">
        <is>
          <t>S1-03 GCP sender</t>
        </is>
      </c>
      <c r="C2" s="13" t="inlineStr">
        <is>
          <t>S1-02 receiving API</t>
        </is>
      </c>
      <c r="D2" s="13" t="inlineStr">
        <is>
          <t>A real run summary from GCP is stored as one row in PostgreSQL</t>
        </is>
      </c>
      <c r="E2" s="13" t="inlineStr">
        <is>
          <t>Test host</t>
        </is>
      </c>
    </row>
    <row r="3">
      <c r="A3" s="13" t="inlineStr">
        <is>
          <t>Sprint 1</t>
        </is>
      </c>
      <c r="B3" s="13" t="inlineStr">
        <is>
          <t>S1-05 part A, GCP OTel</t>
        </is>
      </c>
      <c r="C3" s="13" t="inlineStr">
        <is>
          <t>S1-06 Collector</t>
        </is>
      </c>
      <c r="D3" s="13" t="inlineStr">
        <is>
          <t>The spans of the job arrive in the Collector</t>
        </is>
      </c>
      <c r="E3" s="13" t="inlineStr">
        <is>
          <t>Test host</t>
        </is>
      </c>
    </row>
    <row r="4">
      <c r="A4" s="13" t="inlineStr">
        <is>
          <t>Sprint 1</t>
        </is>
      </c>
      <c r="B4" s="13" t="inlineStr">
        <is>
          <t>S1-05 part B, backend OTel</t>
        </is>
      </c>
      <c r="C4" s="13" t="inlineStr">
        <is>
          <t>S1-05 part A + S1-06</t>
        </is>
      </c>
      <c r="D4" s="13" t="inlineStr">
        <is>
          <t>The backend span has the same trace ID as the root span of the job</t>
        </is>
      </c>
      <c r="E4" s="13" t="inlineStr">
        <is>
          <t>Test host</t>
        </is>
      </c>
    </row>
    <row r="5">
      <c r="A5" s="13" t="inlineStr">
        <is>
          <t>Sprint 1</t>
        </is>
      </c>
      <c r="B5" s="13" t="inlineStr">
        <is>
          <t>S1-07 trace check tool</t>
        </is>
      </c>
      <c r="C5" s="13" t="inlineStr">
        <is>
          <t>S1-05 + S1-06</t>
        </is>
      </c>
      <c r="D5" s="13" t="inlineStr">
        <is>
          <t>One command finds the same trace ID in the database and in the Collector output</t>
        </is>
      </c>
      <c r="E5" s="13" t="inlineStr">
        <is>
          <t>Local stack, then test host</t>
        </is>
      </c>
    </row>
    <row r="6">
      <c r="A6" s="13" t="inlineStr">
        <is>
          <t>Sprint 2</t>
        </is>
      </c>
      <c r="B6" s="13" t="inlineStr">
        <is>
          <t>S2-04 GCP OTel helper</t>
        </is>
      </c>
      <c r="C6" s="13" t="inlineStr">
        <is>
          <t>S2-03 Collector → Langfuse</t>
        </is>
      </c>
      <c r="D6" s="13" t="inlineStr">
        <is>
          <t>The job's spans flow through the Collector into Langfuse, and the run summary lands in monitor Postgres, all with one trace ID</t>
        </is>
      </c>
      <c r="E6" s="13" t="inlineStr">
        <is>
          <t>Local stack, then test host</t>
        </is>
      </c>
    </row>
    <row r="7">
      <c r="A7" s="13" t="inlineStr">
        <is>
          <t>Sprint 2</t>
        </is>
      </c>
      <c r="B7" s="13" t="inlineStr">
        <is>
          <t>S2-05 batch evaluator</t>
        </is>
      </c>
      <c r="C7" s="13" t="inlineStr">
        <is>
          <t>S2-03 Collector → Langfuse</t>
        </is>
      </c>
      <c r="D7" s="13" t="inlineStr">
        <is>
          <t>The run scores and the record scores appear on the run's trace in Langfuse</t>
        </is>
      </c>
      <c r="E7" s="13" t="inlineStr">
        <is>
          <t>Local stack</t>
        </is>
      </c>
    </row>
    <row r="8">
      <c r="A8" s="13" t="inlineStr">
        <is>
          <t>Sprint 2</t>
        </is>
      </c>
      <c r="B8" s="13" t="inlineStr">
        <is>
          <t>S2-01 registry</t>
        </is>
      </c>
      <c r="C8" s="13" t="inlineStr">
        <is>
          <t>S2-06 onboarding</t>
        </is>
      </c>
      <c r="D8" s="13" t="inlineStr">
        <is>
          <t>Each real job can write only its own use case</t>
        </is>
      </c>
      <c r="E8" s="13" t="inlineStr">
        <is>
          <t>Test host</t>
        </is>
      </c>
    </row>
    <row r="9">
      <c r="A9" s="13" t="inlineStr">
        <is>
          <t>Sprint 3</t>
        </is>
      </c>
      <c r="B9" s="13" t="inlineStr">
        <is>
          <t>S3-03 Collector hardening</t>
        </is>
      </c>
      <c r="C9" s="13" t="inlineStr">
        <is>
          <t>S3-04 drills</t>
        </is>
      </c>
      <c r="D9" s="13" t="inlineStr">
        <is>
          <t>Spans survive a Langfuse outage and arrive after recovery, once</t>
        </is>
      </c>
      <c r="E9" s="13" t="inlineStr">
        <is>
          <t>Local stack</t>
        </is>
      </c>
    </row>
    <row r="10">
      <c r="A10" s="13" t="inlineStr">
        <is>
          <t>Sprint 3</t>
        </is>
      </c>
      <c r="B10" s="13" t="inlineStr">
        <is>
          <t>S3-03 Collector hardening</t>
        </is>
      </c>
      <c r="C10" s="13" t="inlineStr">
        <is>
          <t>S3-05 leak scan</t>
        </is>
      </c>
      <c r="D10" s="13" t="inlineStr">
        <is>
          <t>Forbidden attributes are removed before storage</t>
        </is>
      </c>
      <c r="E10" s="13" t="inlineStr">
        <is>
          <t>Local stack, test host</t>
        </is>
      </c>
    </row>
    <row r="11">
      <c r="A11" s="13" t="inlineStr">
        <is>
          <t>Sprint 3</t>
        </is>
      </c>
      <c r="B11" s="13" t="inlineStr">
        <is>
          <t>S3-02 missed-run alert</t>
        </is>
      </c>
      <c r="C11" s="13" t="inlineStr">
        <is>
          <t>S3-04 drills</t>
        </is>
      </c>
      <c r="D11" s="13" t="inlineStr">
        <is>
          <t>A run that never arrives raises a delivery alert, not a quality alert</t>
        </is>
      </c>
      <c r="E11" s="13" t="inlineStr">
        <is>
          <t>Local stack</t>
        </is>
      </c>
    </row>
    <row r="12">
      <c r="A12" s="13" t="inlineStr">
        <is>
          <t>Sprint 4</t>
        </is>
      </c>
      <c r="B12" s="13" t="inlineStr">
        <is>
          <t>S4-02 jobs switched to AWS</t>
        </is>
      </c>
      <c r="C12" s="13" t="inlineStr">
        <is>
          <t>S4-01 AWS stack</t>
        </is>
      </c>
      <c r="D12" s="13" t="inlineStr">
        <is>
          <t>Real runs and spans from GCP arrive in the AWS monitor and in Langfuse</t>
        </is>
      </c>
      <c r="E12" s="13" t="inlineStr">
        <is>
          <t>Production AWS cluster</t>
        </is>
      </c>
    </row>
    <row r="13">
      <c r="A13" s="13" t="inlineStr">
        <is>
          <t>Sprint 4</t>
        </is>
      </c>
      <c r="B13" s="13" t="inlineStr">
        <is>
          <t>S4-03 all 10 use cases</t>
        </is>
      </c>
      <c r="C13" s="13" t="inlineStr">
        <is>
          <t>S4-04 evidence checklist</t>
        </is>
      </c>
      <c r="D13" s="13" t="inlineStr">
        <is>
          <t>Each use case has a real run with its five metrics graded, and the same trace ID in the monitor and in Langfuse</t>
        </is>
      </c>
      <c r="E13" s="13" t="inlineStr">
        <is>
          <t>Production AWS cluster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50" customWidth="1" min="1" max="1"/>
    <col width="26" customWidth="1" min="2" max="2"/>
    <col width="22" customWidth="1" min="3" max="3"/>
    <col width="60" customWidth="1" min="4" max="4"/>
  </cols>
  <sheetData>
    <row r="1">
      <c r="A1" s="6" t="inlineStr">
        <is>
          <t>Request</t>
        </is>
      </c>
      <c r="B1" s="6" t="inlineStr">
        <is>
          <t>Owner</t>
        </is>
      </c>
      <c r="C1" s="6" t="inlineStr">
        <is>
          <t>Needed by</t>
        </is>
      </c>
      <c r="D1" s="6" t="inlineStr">
        <is>
          <t>If it is not approved in time</t>
        </is>
      </c>
    </row>
    <row r="2">
      <c r="A2" s="13" t="inlineStr">
        <is>
          <t>DNS name and certificate for the AWS production stack</t>
        </is>
      </c>
      <c r="B2" s="13" t="inlineStr">
        <is>
          <t>Your team + network team</t>
        </is>
      </c>
      <c r="C2" s="13" t="inlineStr">
        <is>
          <t>S4-01 (26 October)</t>
        </is>
      </c>
      <c r="D2" s="13" t="inlineStr">
        <is>
          <t>Use the IP address and a private CA certificate, as on the test host</t>
        </is>
      </c>
    </row>
    <row r="3">
      <c r="A3" s="13" t="inlineStr">
        <is>
          <t>Production AWS Kubernetes cluster, its owner and access</t>
        </is>
      </c>
      <c r="B3" s="13" t="inlineStr">
        <is>
          <t>Platform</t>
        </is>
      </c>
      <c r="C3" s="13" t="inlineStr">
        <is>
          <t>S4-01 (26 October)</t>
        </is>
      </c>
      <c r="D3" s="13" t="inlineStr">
        <is>
          <t>Report the result as a pilot on the test AWS cluster. Do not report a production release.</t>
        </is>
      </c>
    </row>
    <row r="4">
      <c r="A4" s="13" t="inlineStr">
        <is>
          <t>Amazon RDS for PostgreSQL 17 and Amazon S3 (plan A, S3-06)</t>
        </is>
      </c>
      <c r="B4" s="13" t="inlineStr">
        <is>
          <t>Platform + AWS team</t>
        </is>
      </c>
      <c r="C4" s="13" t="inlineStr">
        <is>
          <t>21 October</t>
        </is>
      </c>
      <c r="D4" s="13" t="inlineStr">
        <is>
          <t>Use plan B: PostgreSQL and MinIO in the cluster</t>
        </is>
      </c>
    </row>
    <row r="5">
      <c r="A5" s="13" t="inlineStr">
        <is>
          <t>Test AWS Kubernetes cluster (not production) and access</t>
        </is>
      </c>
      <c r="B5" s="13" t="inlineStr">
        <is>
          <t>Your team</t>
        </is>
      </c>
      <c r="C5" s="13" t="inlineStr">
        <is>
          <t>S3-06 (19 October)</t>
        </is>
      </c>
      <c r="D5" s="13" t="inlineStr">
        <is>
          <t>Test the S3-06 files on a disposable local cluster (kind)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2" customWidth="1" min="3" max="3"/>
    <col width="70" customWidth="1" min="4" max="4"/>
  </cols>
  <sheetData>
    <row r="1">
      <c r="A1" s="6" t="inlineStr">
        <is>
          <t>Component</t>
        </is>
      </c>
      <c r="B1" s="6" t="inlineStr">
        <is>
          <t>Image or package</t>
        </is>
      </c>
      <c r="C1" s="6" t="inlineStr">
        <is>
          <t>Version</t>
        </is>
      </c>
      <c r="D1" s="6" t="inlineStr">
        <is>
          <t>Note</t>
        </is>
      </c>
    </row>
    <row r="2">
      <c r="A2" s="13" t="inlineStr">
        <is>
          <t>Python (backend)</t>
        </is>
      </c>
      <c r="B2" s="13" t="inlineStr">
        <is>
          <t>python:3.12.15-slim-bookworm</t>
        </is>
      </c>
      <c r="C2" s="13" t="inlineStr">
        <is>
          <t>3.12.15</t>
        </is>
      </c>
      <c r="D2" s="13" t="inlineStr">
        <is>
          <t>Released 2026-10-01. Python 3.12 gets security fixes only, until 2028-10-31.</t>
        </is>
      </c>
    </row>
    <row r="3">
      <c r="A3" s="13" t="inlineStr">
        <is>
          <t>PostgreSQL (monitor and Langfuse)</t>
        </is>
      </c>
      <c r="B3" s="13" t="inlineStr">
        <is>
          <t>postgres:17.11-bookworm</t>
        </is>
      </c>
      <c r="C3" s="13" t="inlineStr">
        <is>
          <t>17.11</t>
        </is>
      </c>
      <c r="D3" s="13" t="inlineStr">
        <is>
          <t>Released 2026-08-10. PostgreSQL 17 is supported until 2029-11-08.</t>
        </is>
      </c>
    </row>
    <row r="4">
      <c r="A4" s="13" t="inlineStr">
        <is>
          <t>OTel Collector</t>
        </is>
      </c>
      <c r="B4" s="13" t="inlineStr">
        <is>
          <t>otel/opentelemetry-collector-contrib</t>
        </is>
      </c>
      <c r="C4" s="13" t="inlineStr">
        <is>
          <t>0.161.0</t>
        </is>
      </c>
      <c r="D4" s="13" t="inlineStr">
        <is>
          <t>Newest image on Docker Hub. Release 0.162.0 (2026-09-29) has no Docker Hub image yet.</t>
        </is>
      </c>
    </row>
    <row r="5">
      <c r="A5" s="13" t="inlineStr">
        <is>
          <t>Langfuse web</t>
        </is>
      </c>
      <c r="B5" s="13" t="inlineStr">
        <is>
          <t>langfuse/langfuse</t>
        </is>
      </c>
      <c r="C5" s="13" t="inlineStr">
        <is>
          <t>4.50.0</t>
        </is>
      </c>
      <c r="D5" s="13" t="inlineStr">
        <is>
          <t>Released 2026-10-02</t>
        </is>
      </c>
    </row>
    <row r="6">
      <c r="A6" s="13" t="inlineStr">
        <is>
          <t>Langfuse worker</t>
        </is>
      </c>
      <c r="B6" s="13" t="inlineStr">
        <is>
          <t>langfuse/langfuse-worker</t>
        </is>
      </c>
      <c r="C6" s="13" t="inlineStr">
        <is>
          <t>4.50.0</t>
        </is>
      </c>
      <c r="D6" s="13" t="inlineStr">
        <is>
          <t>Must be the same version as Langfuse web</t>
        </is>
      </c>
    </row>
    <row r="7">
      <c r="A7" s="13" t="inlineStr">
        <is>
          <t>ClickHouse</t>
        </is>
      </c>
      <c r="B7" s="13" t="inlineStr">
        <is>
          <t>clickhouse/clickhouse-server</t>
        </is>
      </c>
      <c r="C7" s="13" t="inlineStr">
        <is>
          <t>25.12.11.4</t>
        </is>
      </c>
      <c r="D7" s="13" t="inlineStr">
        <is>
          <t>Newest patch of the 25.12 line that the Langfuse Compose file uses. Version 26.9 exists, but Langfuse does not use it.</t>
        </is>
      </c>
    </row>
    <row r="8">
      <c r="A8" s="13" t="inlineStr">
        <is>
          <t>Redis</t>
        </is>
      </c>
      <c r="B8" s="13" t="inlineStr">
        <is>
          <t>redis</t>
        </is>
      </c>
      <c r="C8" s="13" t="inlineStr">
        <is>
          <t>7.4.11</t>
        </is>
      </c>
      <c r="D8" s="13" t="inlineStr">
        <is>
          <t>Newest patch of the 7 line that the Langfuse Compose file uses. Version 8 exists, but Langfuse does not use it.</t>
        </is>
      </c>
    </row>
    <row r="9">
      <c r="A9" s="13" t="inlineStr">
        <is>
          <t>S3 storage (MinIO)</t>
        </is>
      </c>
      <c r="B9" s="13" t="inlineStr">
        <is>
          <t>cgr.dev/chainguard/minio</t>
        </is>
      </c>
      <c r="C9" s="13" t="inlineStr">
        <is>
          <t>Fix by image digest</t>
        </is>
      </c>
      <c r="D9" s="13" t="inlineStr">
        <is>
          <t>The image that the Langfuse Compose file uses. The free Chainguard image has only the latest tag, so record its digest.</t>
        </is>
      </c>
    </row>
    <row r="10">
      <c r="A10" s="13" t="inlineStr">
        <is>
          <t>Langfuse Python SDK</t>
        </is>
      </c>
      <c r="B10" s="13" t="inlineStr">
        <is>
          <t>langfuse</t>
        </is>
      </c>
      <c r="C10" s="13" t="inlineStr">
        <is>
          <t>&gt;=4.16,&lt;5</t>
        </is>
      </c>
      <c r="D10" s="13" t="inlineStr">
        <is>
          <t>S2-02</t>
        </is>
      </c>
    </row>
    <row r="11">
      <c r="A11" s="13" t="inlineStr">
        <is>
          <t>Langfuse Helm chart</t>
        </is>
      </c>
      <c r="B11" s="13" t="inlineStr">
        <is>
          <t>langfuse/langfuse (langfuse-k8s)</t>
        </is>
      </c>
      <c r="C11" s="13" t="inlineStr">
        <is>
          <t>2.1.3</t>
        </is>
      </c>
      <c r="D11" s="13" t="inlineStr">
        <is>
          <t>Released 2026-09-28. Set the image tags to Langfuse 4.50.0 in the values file (S3-06).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2026-10-04T09:00:01Z</dcterms:created>
  <dcterms:modified xsi:type="dcterms:W3CDTF">2026-10-04T09:00:01Z</dcterms:modified>
</cp:coreProperties>
</file>